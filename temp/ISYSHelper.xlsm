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jan\Desktop\"/>
    </mc:Choice>
  </mc:AlternateContent>
  <workbookProtection workbookAlgorithmName="SHA-512" workbookHashValue="Ntajxtj9l4/7lX6dQQGFJzGEahGuDJLlQZ4xjuh9IzrZiDPGCCnfY3bFEiCJEy6BaNnkowhwNQEaRlaDR+5Kmg==" workbookSaltValue="rAUtftxTIGdb/CcpfIl0Kw==" workbookSpinCount="100000" lockStructure="1"/>
  <bookViews>
    <workbookView xWindow="0" yWindow="0" windowWidth="19200" windowHeight="7440" activeTab="1"/>
  </bookViews>
  <sheets>
    <sheet name="CredentialManager" sheetId="2" r:id="rId1"/>
    <sheet name="NavigationManager" sheetId="3" r:id="rId2"/>
    <sheet name="ContentManager" sheetId="4" r:id="rId3"/>
    <sheet name="SOURCE" sheetId="5" state="hidden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4" i="4"/>
  <c r="C3" i="4"/>
  <c r="B17" i="4"/>
  <c r="B6" i="4"/>
  <c r="B7" i="4"/>
  <c r="B8" i="4"/>
  <c r="B9" i="4"/>
  <c r="B10" i="4"/>
  <c r="B11" i="4"/>
  <c r="B12" i="4"/>
  <c r="B13" i="4"/>
  <c r="B14" i="4"/>
  <c r="B15" i="4"/>
  <c r="B16" i="4"/>
  <c r="B5" i="4"/>
  <c r="J18" i="4" l="1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8" i="4"/>
  <c r="J99" i="4"/>
  <c r="J100" i="4"/>
  <c r="J101" i="4"/>
  <c r="J102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8" i="4"/>
  <c r="G99" i="4"/>
  <c r="G100" i="4"/>
  <c r="G101" i="4"/>
  <c r="G102" i="4"/>
  <c r="K35" i="4"/>
  <c r="K41" i="4"/>
  <c r="K47" i="4"/>
  <c r="K48" i="4"/>
  <c r="K53" i="4"/>
  <c r="K71" i="4"/>
  <c r="K77" i="4"/>
  <c r="K83" i="4"/>
  <c r="K84" i="4"/>
  <c r="K89" i="4"/>
  <c r="H18" i="4"/>
  <c r="H19" i="4"/>
  <c r="H20" i="4"/>
  <c r="I20" i="4" s="1"/>
  <c r="H21" i="4"/>
  <c r="I21" i="4" s="1"/>
  <c r="H22" i="4"/>
  <c r="H23" i="4"/>
  <c r="H24" i="4"/>
  <c r="H25" i="4"/>
  <c r="H26" i="4"/>
  <c r="I26" i="4" s="1"/>
  <c r="H27" i="4"/>
  <c r="I27" i="4" s="1"/>
  <c r="H28" i="4"/>
  <c r="I28" i="4" s="1"/>
  <c r="H29" i="4"/>
  <c r="H30" i="4"/>
  <c r="H31" i="4"/>
  <c r="H32" i="4"/>
  <c r="I32" i="4" s="1"/>
  <c r="H33" i="4"/>
  <c r="I33" i="4" s="1"/>
  <c r="H34" i="4"/>
  <c r="I34" i="4" s="1"/>
  <c r="H35" i="4"/>
  <c r="H36" i="4"/>
  <c r="H37" i="4"/>
  <c r="H38" i="4"/>
  <c r="I38" i="4" s="1"/>
  <c r="H39" i="4"/>
  <c r="I39" i="4" s="1"/>
  <c r="H40" i="4"/>
  <c r="I40" i="4" s="1"/>
  <c r="H41" i="4"/>
  <c r="H42" i="4"/>
  <c r="H43" i="4"/>
  <c r="H44" i="4"/>
  <c r="H45" i="4"/>
  <c r="I45" i="4" s="1"/>
  <c r="H46" i="4"/>
  <c r="H47" i="4"/>
  <c r="H48" i="4"/>
  <c r="H49" i="4"/>
  <c r="H50" i="4"/>
  <c r="H51" i="4"/>
  <c r="I51" i="4" s="1"/>
  <c r="H52" i="4"/>
  <c r="H53" i="4"/>
  <c r="H54" i="4"/>
  <c r="H55" i="4"/>
  <c r="H56" i="4"/>
  <c r="I56" i="4" s="1"/>
  <c r="H57" i="4"/>
  <c r="I57" i="4" s="1"/>
  <c r="H58" i="4"/>
  <c r="H59" i="4"/>
  <c r="H60" i="4"/>
  <c r="H61" i="4"/>
  <c r="H62" i="4"/>
  <c r="I62" i="4" s="1"/>
  <c r="H63" i="4"/>
  <c r="I63" i="4" s="1"/>
  <c r="H64" i="4"/>
  <c r="I64" i="4" s="1"/>
  <c r="H65" i="4"/>
  <c r="H66" i="4"/>
  <c r="H67" i="4"/>
  <c r="H68" i="4"/>
  <c r="I68" i="4" s="1"/>
  <c r="H69" i="4"/>
  <c r="I69" i="4" s="1"/>
  <c r="H70" i="4"/>
  <c r="I70" i="4" s="1"/>
  <c r="H71" i="4"/>
  <c r="H72" i="4"/>
  <c r="H73" i="4"/>
  <c r="H74" i="4"/>
  <c r="I74" i="4" s="1"/>
  <c r="H75" i="4"/>
  <c r="I75" i="4" s="1"/>
  <c r="H76" i="4"/>
  <c r="I76" i="4" s="1"/>
  <c r="H77" i="4"/>
  <c r="H78" i="4"/>
  <c r="H79" i="4"/>
  <c r="H80" i="4"/>
  <c r="H81" i="4"/>
  <c r="I81" i="4" s="1"/>
  <c r="H82" i="4"/>
  <c r="H83" i="4"/>
  <c r="H84" i="4"/>
  <c r="H85" i="4"/>
  <c r="H86" i="4"/>
  <c r="H87" i="4"/>
  <c r="I87" i="4" s="1"/>
  <c r="H88" i="4"/>
  <c r="H89" i="4"/>
  <c r="H90" i="4"/>
  <c r="H91" i="4"/>
  <c r="H92" i="4"/>
  <c r="I92" i="4" s="1"/>
  <c r="H93" i="4"/>
  <c r="I93" i="4" s="1"/>
  <c r="H94" i="4"/>
  <c r="H95" i="4"/>
  <c r="H96" i="4"/>
  <c r="H98" i="4"/>
  <c r="I98" i="4" s="1"/>
  <c r="H99" i="4"/>
  <c r="I99" i="4" s="1"/>
  <c r="H100" i="4"/>
  <c r="I100" i="4" s="1"/>
  <c r="H101" i="4"/>
  <c r="H102" i="4"/>
  <c r="K18" i="4"/>
  <c r="I18" i="4"/>
  <c r="I19" i="4"/>
  <c r="I22" i="4"/>
  <c r="K22" i="4" s="1"/>
  <c r="I23" i="4"/>
  <c r="I24" i="4"/>
  <c r="I25" i="4"/>
  <c r="I29" i="4"/>
  <c r="K29" i="4" s="1"/>
  <c r="I30" i="4"/>
  <c r="I31" i="4"/>
  <c r="I35" i="4"/>
  <c r="I36" i="4"/>
  <c r="I37" i="4"/>
  <c r="I41" i="4"/>
  <c r="I42" i="4"/>
  <c r="I43" i="4"/>
  <c r="I44" i="4"/>
  <c r="I46" i="4"/>
  <c r="K46" i="4" s="1"/>
  <c r="I47" i="4"/>
  <c r="I48" i="4"/>
  <c r="I49" i="4"/>
  <c r="I50" i="4"/>
  <c r="I52" i="4"/>
  <c r="K52" i="4" s="1"/>
  <c r="I53" i="4"/>
  <c r="I54" i="4"/>
  <c r="I55" i="4"/>
  <c r="I58" i="4"/>
  <c r="K58" i="4" s="1"/>
  <c r="I59" i="4"/>
  <c r="K59" i="4" s="1"/>
  <c r="I60" i="4"/>
  <c r="I61" i="4"/>
  <c r="I65" i="4"/>
  <c r="I66" i="4"/>
  <c r="I67" i="4"/>
  <c r="I71" i="4"/>
  <c r="I72" i="4"/>
  <c r="I73" i="4"/>
  <c r="I77" i="4"/>
  <c r="I78" i="4"/>
  <c r="I79" i="4"/>
  <c r="I80" i="4"/>
  <c r="I82" i="4"/>
  <c r="K82" i="4" s="1"/>
  <c r="I83" i="4"/>
  <c r="I84" i="4"/>
  <c r="I85" i="4"/>
  <c r="I86" i="4"/>
  <c r="I88" i="4"/>
  <c r="K88" i="4" s="1"/>
  <c r="I89" i="4"/>
  <c r="I90" i="4"/>
  <c r="I91" i="4"/>
  <c r="I94" i="4"/>
  <c r="I95" i="4"/>
  <c r="K95" i="4" s="1"/>
  <c r="I96" i="4"/>
  <c r="I101" i="4"/>
  <c r="K101" i="4" s="1"/>
  <c r="I102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8" i="4"/>
  <c r="F99" i="4"/>
  <c r="F100" i="4"/>
  <c r="F101" i="4"/>
  <c r="F102" i="4"/>
  <c r="E4" i="4"/>
  <c r="F4" i="4" s="1"/>
  <c r="E5" i="4"/>
  <c r="F5" i="4" s="1"/>
  <c r="G5" i="4" s="1"/>
  <c r="H5" i="4" s="1"/>
  <c r="I5" i="4" s="1"/>
  <c r="E6" i="4"/>
  <c r="F6" i="4" s="1"/>
  <c r="G6" i="4" s="1"/>
  <c r="H6" i="4" s="1"/>
  <c r="I6" i="4" s="1"/>
  <c r="J6" i="4" s="1"/>
  <c r="E7" i="4"/>
  <c r="F7" i="4" s="1"/>
  <c r="G7" i="4" s="1"/>
  <c r="H7" i="4" s="1"/>
  <c r="I7" i="4" s="1"/>
  <c r="J7" i="4" s="1"/>
  <c r="E8" i="4"/>
  <c r="F8" i="4" s="1"/>
  <c r="G8" i="4" s="1"/>
  <c r="H8" i="4" s="1"/>
  <c r="I8" i="4" s="1"/>
  <c r="J8" i="4" s="1"/>
  <c r="E9" i="4"/>
  <c r="F9" i="4" s="1"/>
  <c r="G9" i="4" s="1"/>
  <c r="H9" i="4" s="1"/>
  <c r="I9" i="4" s="1"/>
  <c r="J9" i="4" s="1"/>
  <c r="E10" i="4"/>
  <c r="F10" i="4" s="1"/>
  <c r="G10" i="4" s="1"/>
  <c r="H10" i="4" s="1"/>
  <c r="I10" i="4" s="1"/>
  <c r="E11" i="4"/>
  <c r="F11" i="4" s="1"/>
  <c r="G11" i="4" s="1"/>
  <c r="H11" i="4" s="1"/>
  <c r="I11" i="4" s="1"/>
  <c r="E12" i="4"/>
  <c r="F12" i="4" s="1"/>
  <c r="G12" i="4" s="1"/>
  <c r="H12" i="4" s="1"/>
  <c r="I12" i="4" s="1"/>
  <c r="E13" i="4"/>
  <c r="F13" i="4" s="1"/>
  <c r="G13" i="4" s="1"/>
  <c r="H13" i="4" s="1"/>
  <c r="I13" i="4" s="1"/>
  <c r="J13" i="4" s="1"/>
  <c r="E14" i="4"/>
  <c r="F14" i="4" s="1"/>
  <c r="G14" i="4" s="1"/>
  <c r="H14" i="4" s="1"/>
  <c r="I14" i="4" s="1"/>
  <c r="J14" i="4" s="1"/>
  <c r="E15" i="4"/>
  <c r="F15" i="4" s="1"/>
  <c r="G15" i="4" s="1"/>
  <c r="H15" i="4" s="1"/>
  <c r="I15" i="4" s="1"/>
  <c r="J15" i="4" s="1"/>
  <c r="E16" i="4"/>
  <c r="F16" i="4" s="1"/>
  <c r="G16" i="4" s="1"/>
  <c r="H16" i="4" s="1"/>
  <c r="I16" i="4" s="1"/>
  <c r="E17" i="4"/>
  <c r="F17" i="4" s="1"/>
  <c r="G17" i="4" s="1"/>
  <c r="H17" i="4" s="1"/>
  <c r="I17" i="4" s="1"/>
  <c r="J17" i="4" s="1"/>
  <c r="K17" i="4" s="1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F97" i="4" s="1"/>
  <c r="G97" i="4" s="1"/>
  <c r="H97" i="4" s="1"/>
  <c r="I97" i="4" s="1"/>
  <c r="J97" i="4" s="1"/>
  <c r="E98" i="4"/>
  <c r="E99" i="4"/>
  <c r="E100" i="4"/>
  <c r="E101" i="4"/>
  <c r="E102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X3" i="4"/>
  <c r="W3" i="4"/>
  <c r="W3" i="3"/>
  <c r="J12" i="4" l="1"/>
  <c r="K12" i="4" s="1"/>
  <c r="L12" i="4" s="1"/>
  <c r="Y12" i="4" s="1"/>
  <c r="Z12" i="4" s="1"/>
  <c r="K10" i="4"/>
  <c r="L10" i="4" s="1"/>
  <c r="Y10" i="4" s="1"/>
  <c r="Z10" i="4" s="1"/>
  <c r="J11" i="4"/>
  <c r="K11" i="4" s="1"/>
  <c r="L11" i="4" s="1"/>
  <c r="Y11" i="4" s="1"/>
  <c r="Z11" i="4" s="1"/>
  <c r="J10" i="4"/>
  <c r="J16" i="4"/>
  <c r="K16" i="4" s="1"/>
  <c r="L16" i="4" s="1"/>
  <c r="Y16" i="4" s="1"/>
  <c r="Z16" i="4" s="1"/>
  <c r="J5" i="4"/>
  <c r="K5" i="4" s="1"/>
  <c r="L5" i="4" s="1"/>
  <c r="Y5" i="4" s="1"/>
  <c r="Z5" i="4" s="1"/>
  <c r="K8" i="4"/>
  <c r="K9" i="4"/>
  <c r="K99" i="4"/>
  <c r="K93" i="4"/>
  <c r="L93" i="4" s="1"/>
  <c r="Y93" i="4" s="1"/>
  <c r="K87" i="4"/>
  <c r="L87" i="4" s="1"/>
  <c r="Y87" i="4" s="1"/>
  <c r="K81" i="4"/>
  <c r="K75" i="4"/>
  <c r="L75" i="4" s="1"/>
  <c r="Y75" i="4" s="1"/>
  <c r="K69" i="4"/>
  <c r="K63" i="4"/>
  <c r="K57" i="4"/>
  <c r="L57" i="4" s="1"/>
  <c r="Y57" i="4" s="1"/>
  <c r="K51" i="4"/>
  <c r="L51" i="4" s="1"/>
  <c r="Y51" i="4" s="1"/>
  <c r="K45" i="4"/>
  <c r="K39" i="4"/>
  <c r="L39" i="4" s="1"/>
  <c r="Y39" i="4" s="1"/>
  <c r="K33" i="4"/>
  <c r="K27" i="4"/>
  <c r="K21" i="4"/>
  <c r="L21" i="4" s="1"/>
  <c r="Y21" i="4" s="1"/>
  <c r="K15" i="4"/>
  <c r="L15" i="4" s="1"/>
  <c r="Y15" i="4" s="1"/>
  <c r="Z15" i="4" s="1"/>
  <c r="K92" i="4"/>
  <c r="L92" i="4" s="1"/>
  <c r="Y92" i="4" s="1"/>
  <c r="K56" i="4"/>
  <c r="L56" i="4" s="1"/>
  <c r="Y56" i="4" s="1"/>
  <c r="K20" i="4"/>
  <c r="L20" i="4" s="1"/>
  <c r="G4" i="4"/>
  <c r="H4" i="4" s="1"/>
  <c r="I4" i="4" s="1"/>
  <c r="K100" i="4"/>
  <c r="L100" i="4" s="1"/>
  <c r="Y100" i="4" s="1"/>
  <c r="K64" i="4"/>
  <c r="L64" i="4" s="1"/>
  <c r="Y64" i="4" s="1"/>
  <c r="K98" i="4"/>
  <c r="L98" i="4" s="1"/>
  <c r="Y98" i="4" s="1"/>
  <c r="K74" i="4"/>
  <c r="L74" i="4" s="1"/>
  <c r="Y74" i="4" s="1"/>
  <c r="K38" i="4"/>
  <c r="L38" i="4" s="1"/>
  <c r="Y38" i="4" s="1"/>
  <c r="K32" i="4"/>
  <c r="L32" i="4" s="1"/>
  <c r="Y32" i="4" s="1"/>
  <c r="K26" i="4"/>
  <c r="L26" i="4" s="1"/>
  <c r="Y26" i="4" s="1"/>
  <c r="K76" i="4"/>
  <c r="L76" i="4" s="1"/>
  <c r="Y76" i="4" s="1"/>
  <c r="K34" i="4"/>
  <c r="L34" i="4" s="1"/>
  <c r="Y34" i="4" s="1"/>
  <c r="K78" i="4"/>
  <c r="L78" i="4" s="1"/>
  <c r="Y78" i="4" s="1"/>
  <c r="K102" i="4"/>
  <c r="L102" i="4" s="1"/>
  <c r="Y102" i="4" s="1"/>
  <c r="K68" i="4"/>
  <c r="L68" i="4" s="1"/>
  <c r="Y68" i="4" s="1"/>
  <c r="K36" i="4"/>
  <c r="L36" i="4" s="1"/>
  <c r="Y36" i="4" s="1"/>
  <c r="K42" i="4"/>
  <c r="L42" i="4" s="1"/>
  <c r="Y42" i="4" s="1"/>
  <c r="K70" i="4"/>
  <c r="L70" i="4" s="1"/>
  <c r="Y70" i="4" s="1"/>
  <c r="K28" i="4"/>
  <c r="L28" i="4" s="1"/>
  <c r="Y28" i="4" s="1"/>
  <c r="K66" i="4"/>
  <c r="L66" i="4" s="1"/>
  <c r="Y66" i="4" s="1"/>
  <c r="K62" i="4"/>
  <c r="L62" i="4" s="1"/>
  <c r="Y62" i="4" s="1"/>
  <c r="K24" i="4"/>
  <c r="L24" i="4" s="1"/>
  <c r="Y24" i="4" s="1"/>
  <c r="K72" i="4"/>
  <c r="L72" i="4" s="1"/>
  <c r="Y72" i="4" s="1"/>
  <c r="K60" i="4"/>
  <c r="L60" i="4" s="1"/>
  <c r="Y60" i="4" s="1"/>
  <c r="K30" i="4"/>
  <c r="L30" i="4" s="1"/>
  <c r="Y30" i="4" s="1"/>
  <c r="K40" i="4"/>
  <c r="L40" i="4" s="1"/>
  <c r="Y40" i="4" s="1"/>
  <c r="K96" i="4"/>
  <c r="L96" i="4" s="1"/>
  <c r="Y96" i="4" s="1"/>
  <c r="K6" i="4"/>
  <c r="L6" i="4" s="1"/>
  <c r="Y6" i="4" s="1"/>
  <c r="Z6" i="4" s="1"/>
  <c r="L54" i="4"/>
  <c r="Y54" i="4" s="1"/>
  <c r="K54" i="4"/>
  <c r="K23" i="4"/>
  <c r="L23" i="4" s="1"/>
  <c r="Y23" i="4" s="1"/>
  <c r="L71" i="4"/>
  <c r="Y71" i="4" s="1"/>
  <c r="L35" i="4"/>
  <c r="Y35" i="4" s="1"/>
  <c r="K94" i="4"/>
  <c r="L94" i="4" s="1"/>
  <c r="Y94" i="4" s="1"/>
  <c r="L95" i="4"/>
  <c r="Y95" i="4" s="1"/>
  <c r="L59" i="4"/>
  <c r="Y59" i="4" s="1"/>
  <c r="L77" i="4"/>
  <c r="Y77" i="4" s="1"/>
  <c r="L41" i="4"/>
  <c r="Y41" i="4" s="1"/>
  <c r="L19" i="4"/>
  <c r="Y19" i="4" s="1"/>
  <c r="L18" i="4"/>
  <c r="Y18" i="4" s="1"/>
  <c r="L58" i="4"/>
  <c r="Y58" i="4" s="1"/>
  <c r="L29" i="4"/>
  <c r="Y29" i="4" s="1"/>
  <c r="L84" i="4"/>
  <c r="Y84" i="4" s="1"/>
  <c r="L83" i="4"/>
  <c r="Y83" i="4" s="1"/>
  <c r="L47" i="4"/>
  <c r="Y47" i="4" s="1"/>
  <c r="K86" i="4"/>
  <c r="L86" i="4" s="1"/>
  <c r="Y86" i="4" s="1"/>
  <c r="K80" i="4"/>
  <c r="L80" i="4" s="1"/>
  <c r="Y80" i="4" s="1"/>
  <c r="K50" i="4"/>
  <c r="L50" i="4" s="1"/>
  <c r="Y50" i="4" s="1"/>
  <c r="K44" i="4"/>
  <c r="L44" i="4" s="1"/>
  <c r="Y44" i="4" s="1"/>
  <c r="K14" i="4"/>
  <c r="L14" i="4" s="1"/>
  <c r="Y14" i="4" s="1"/>
  <c r="Z14" i="4" s="1"/>
  <c r="L88" i="4"/>
  <c r="Y88" i="4" s="1"/>
  <c r="L52" i="4"/>
  <c r="Y52" i="4" s="1"/>
  <c r="L8" i="4"/>
  <c r="Y8" i="4" s="1"/>
  <c r="Z8" i="4" s="1"/>
  <c r="K90" i="4"/>
  <c r="L90" i="4" s="1"/>
  <c r="Y90" i="4" s="1"/>
  <c r="L101" i="4"/>
  <c r="Y101" i="4" s="1"/>
  <c r="L22" i="4"/>
  <c r="Y22" i="4" s="1"/>
  <c r="L48" i="4"/>
  <c r="Y48" i="4" s="1"/>
  <c r="K65" i="4"/>
  <c r="L65" i="4" s="1"/>
  <c r="Y65" i="4" s="1"/>
  <c r="L89" i="4"/>
  <c r="Y89" i="4" s="1"/>
  <c r="L82" i="4"/>
  <c r="Y82" i="4" s="1"/>
  <c r="L53" i="4"/>
  <c r="Y53" i="4" s="1"/>
  <c r="L46" i="4"/>
  <c r="Y46" i="4" s="1"/>
  <c r="L17" i="4"/>
  <c r="Y17" i="4" s="1"/>
  <c r="Z17" i="4" s="1"/>
  <c r="K97" i="4"/>
  <c r="L97" i="4" s="1"/>
  <c r="Y97" i="4" s="1"/>
  <c r="K91" i="4"/>
  <c r="L91" i="4" s="1"/>
  <c r="Y91" i="4" s="1"/>
  <c r="K85" i="4"/>
  <c r="L85" i="4" s="1"/>
  <c r="Y85" i="4" s="1"/>
  <c r="K79" i="4"/>
  <c r="L79" i="4" s="1"/>
  <c r="Y79" i="4" s="1"/>
  <c r="K73" i="4"/>
  <c r="L73" i="4" s="1"/>
  <c r="Y73" i="4" s="1"/>
  <c r="K67" i="4"/>
  <c r="L67" i="4" s="1"/>
  <c r="Y67" i="4" s="1"/>
  <c r="K61" i="4"/>
  <c r="L61" i="4" s="1"/>
  <c r="Y61" i="4" s="1"/>
  <c r="K55" i="4"/>
  <c r="L55" i="4" s="1"/>
  <c r="Y55" i="4" s="1"/>
  <c r="K49" i="4"/>
  <c r="L49" i="4" s="1"/>
  <c r="Y49" i="4" s="1"/>
  <c r="K43" i="4"/>
  <c r="L43" i="4" s="1"/>
  <c r="Y43" i="4" s="1"/>
  <c r="K37" i="4"/>
  <c r="L37" i="4" s="1"/>
  <c r="Y37" i="4" s="1"/>
  <c r="K31" i="4"/>
  <c r="L31" i="4" s="1"/>
  <c r="Y31" i="4" s="1"/>
  <c r="K25" i="4"/>
  <c r="L25" i="4" s="1"/>
  <c r="Y25" i="4" s="1"/>
  <c r="K19" i="4"/>
  <c r="K13" i="4"/>
  <c r="L13" i="4" s="1"/>
  <c r="Y13" i="4" s="1"/>
  <c r="Z13" i="4" s="1"/>
  <c r="K7" i="4"/>
  <c r="L7" i="4" s="1"/>
  <c r="Y7" i="4" s="1"/>
  <c r="Z7" i="4" s="1"/>
  <c r="L99" i="4"/>
  <c r="Y99" i="4" s="1"/>
  <c r="L81" i="4"/>
  <c r="Y81" i="4" s="1"/>
  <c r="L69" i="4"/>
  <c r="Y69" i="4" s="1"/>
  <c r="L63" i="4"/>
  <c r="Y63" i="4" s="1"/>
  <c r="L45" i="4"/>
  <c r="L33" i="4"/>
  <c r="Y33" i="4" s="1"/>
  <c r="L27" i="4"/>
  <c r="Y27" i="4" s="1"/>
  <c r="L9" i="4"/>
  <c r="Y9" i="4" s="1"/>
  <c r="Z9" i="4" s="1"/>
  <c r="Y20" i="4"/>
  <c r="Y45" i="4"/>
  <c r="E3" i="4"/>
  <c r="F3" i="4" s="1"/>
  <c r="J4" i="4" l="1"/>
  <c r="K4" i="4" s="1"/>
  <c r="L4" i="4" s="1"/>
  <c r="Y4" i="4" s="1"/>
  <c r="Z4" i="4" s="1"/>
  <c r="G3" i="4"/>
  <c r="H3" i="4" s="1"/>
  <c r="I3" i="4" s="1"/>
  <c r="Z105" i="2"/>
  <c r="Z104" i="2"/>
  <c r="J3" i="4" l="1"/>
  <c r="K3" i="4" s="1"/>
  <c r="L3" i="4" s="1"/>
  <c r="Y3" i="4" s="1"/>
  <c r="Z3" i="4" s="1"/>
  <c r="Z8" i="3"/>
  <c r="Z9" i="3"/>
  <c r="Z10" i="3"/>
  <c r="Z11" i="3"/>
  <c r="Z12" i="3"/>
  <c r="Y4" i="3"/>
  <c r="Z4" i="3" s="1"/>
  <c r="Y5" i="3"/>
  <c r="Y6" i="3"/>
  <c r="Y7" i="3"/>
  <c r="Z7" i="3" s="1"/>
  <c r="Y8" i="3"/>
  <c r="Y9" i="3"/>
  <c r="Y10" i="3"/>
  <c r="Y11" i="3"/>
  <c r="Y12" i="3"/>
  <c r="Y3" i="3"/>
  <c r="Z3" i="3" s="1"/>
  <c r="X4" i="3"/>
  <c r="X5" i="3"/>
  <c r="X6" i="3"/>
  <c r="X7" i="3"/>
  <c r="X8" i="3"/>
  <c r="X9" i="3"/>
  <c r="X10" i="3"/>
  <c r="X11" i="3"/>
  <c r="X12" i="3"/>
  <c r="X3" i="3"/>
  <c r="W12" i="3"/>
  <c r="W4" i="3"/>
  <c r="W5" i="3"/>
  <c r="W6" i="3"/>
  <c r="W7" i="3"/>
  <c r="W8" i="3"/>
  <c r="W9" i="3"/>
  <c r="W10" i="3"/>
  <c r="W11" i="3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3" i="2"/>
  <c r="Z19" i="3"/>
  <c r="Z20" i="3"/>
  <c r="Z23" i="3"/>
  <c r="Z24" i="3"/>
  <c r="Z25" i="3"/>
  <c r="Z26" i="3"/>
  <c r="Z27" i="3"/>
  <c r="Z28" i="3"/>
  <c r="Z29" i="3"/>
  <c r="Z30" i="3"/>
  <c r="Z31" i="3"/>
  <c r="Z32" i="3"/>
  <c r="Z33" i="3"/>
  <c r="Z34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15" i="3"/>
  <c r="Y16" i="3"/>
  <c r="Y17" i="3"/>
  <c r="Y18" i="3"/>
  <c r="Y19" i="3"/>
  <c r="Y20" i="3"/>
  <c r="Y21" i="3"/>
  <c r="Z21" i="3" s="1"/>
  <c r="Y22" i="3"/>
  <c r="Z22" i="3" s="1"/>
  <c r="Y23" i="3"/>
  <c r="Y24" i="3"/>
  <c r="Y25" i="3"/>
  <c r="Y26" i="3"/>
  <c r="Y27" i="3"/>
  <c r="Y28" i="3"/>
  <c r="Y29" i="3"/>
  <c r="Y30" i="3"/>
  <c r="Y31" i="3"/>
  <c r="Y32" i="3"/>
  <c r="Y33" i="3"/>
  <c r="Y34" i="3"/>
  <c r="Y15" i="3"/>
  <c r="Z15" i="3" s="1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3" i="2"/>
  <c r="Q4" i="2"/>
  <c r="Q5" i="2"/>
  <c r="Q6" i="2"/>
  <c r="Q7" i="2"/>
  <c r="Q8" i="2"/>
  <c r="Q9" i="2"/>
  <c r="Q10" i="2"/>
  <c r="Q11" i="2"/>
  <c r="Q12" i="2"/>
  <c r="Z12" i="2" s="1"/>
  <c r="Q13" i="2"/>
  <c r="Z13" i="2" s="1"/>
  <c r="Q14" i="2"/>
  <c r="Z14" i="2" s="1"/>
  <c r="Q15" i="2"/>
  <c r="Q16" i="2"/>
  <c r="Q17" i="2"/>
  <c r="Z17" i="2" s="1"/>
  <c r="Q18" i="2"/>
  <c r="Z18" i="2" s="1"/>
  <c r="Q19" i="2"/>
  <c r="Z19" i="2" s="1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3" i="2"/>
  <c r="R4" i="2"/>
  <c r="R5" i="2"/>
  <c r="R6" i="2"/>
  <c r="R7" i="2"/>
  <c r="R8" i="2"/>
  <c r="R9" i="2"/>
  <c r="R10" i="2"/>
  <c r="R11" i="2"/>
  <c r="Z11" i="2" s="1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3" i="2"/>
  <c r="Z103" i="4"/>
  <c r="Z17" i="3" l="1"/>
  <c r="Z18" i="3"/>
  <c r="Z16" i="3"/>
  <c r="Z6" i="3"/>
  <c r="Z8" i="2"/>
  <c r="Z6" i="2"/>
  <c r="Z5" i="2"/>
  <c r="Z4" i="2"/>
  <c r="Z9" i="2"/>
  <c r="Z26" i="2"/>
  <c r="Z28" i="2"/>
  <c r="Z27" i="2"/>
  <c r="Z25" i="2"/>
  <c r="Z24" i="2"/>
  <c r="Z23" i="2"/>
  <c r="Z22" i="2"/>
  <c r="Z21" i="2"/>
  <c r="Z20" i="2"/>
  <c r="Z3" i="2"/>
  <c r="Z7" i="2"/>
  <c r="Z10" i="2"/>
  <c r="Z5" i="3"/>
  <c r="Z16" i="2"/>
  <c r="Z15" i="2"/>
  <c r="Z35" i="3"/>
  <c r="Z103" i="2"/>
  <c r="Z13" i="3"/>
</calcChain>
</file>

<file path=xl/sharedStrings.xml><?xml version="1.0" encoding="utf-8"?>
<sst xmlns="http://schemas.openxmlformats.org/spreadsheetml/2006/main" count="290" uniqueCount="280">
  <si>
    <t>KEY</t>
  </si>
  <si>
    <t>NAME</t>
  </si>
  <si>
    <t>USERNAME</t>
  </si>
  <si>
    <t>PASSWORD</t>
  </si>
  <si>
    <t>LINK</t>
  </si>
  <si>
    <t>DESCRIPTION</t>
  </si>
  <si>
    <t>Bojan Gluvacevic</t>
  </si>
  <si>
    <t>bojan.gluvacevic</t>
  </si>
  <si>
    <t>INCLUDES</t>
  </si>
  <si>
    <t>Manager</t>
  </si>
  <si>
    <t>TITLE</t>
  </si>
  <si>
    <t>CONTENT</t>
  </si>
  <si>
    <t>CM-001</t>
  </si>
  <si>
    <t>CM-002</t>
  </si>
  <si>
    <t>CM-003</t>
  </si>
  <si>
    <t>CM-004</t>
  </si>
  <si>
    <t>CM-005</t>
  </si>
  <si>
    <t>CM-006</t>
  </si>
  <si>
    <t>CM-007</t>
  </si>
  <si>
    <t>CM-008</t>
  </si>
  <si>
    <t>CM-009</t>
  </si>
  <si>
    <t>CM-010</t>
  </si>
  <si>
    <t>CM-011</t>
  </si>
  <si>
    <t>CM-012</t>
  </si>
  <si>
    <t>CM-013</t>
  </si>
  <si>
    <t>CM-014</t>
  </si>
  <si>
    <t>CM-015</t>
  </si>
  <si>
    <t>CM-016</t>
  </si>
  <si>
    <t>CM-017</t>
  </si>
  <si>
    <t>CM-018</t>
  </si>
  <si>
    <t>CM-019</t>
  </si>
  <si>
    <t>CM-020</t>
  </si>
  <si>
    <t>CM-021</t>
  </si>
  <si>
    <t>CM-022</t>
  </si>
  <si>
    <t>CM-023</t>
  </si>
  <si>
    <t>CM-024</t>
  </si>
  <si>
    <t>CM-025</t>
  </si>
  <si>
    <t>CM-026</t>
  </si>
  <si>
    <t>CM-027</t>
  </si>
  <si>
    <t>CM-028</t>
  </si>
  <si>
    <t>CM-029</t>
  </si>
  <si>
    <t>CM-030</t>
  </si>
  <si>
    <t>CM-031</t>
  </si>
  <si>
    <t>CM-032</t>
  </si>
  <si>
    <t>CM-033</t>
  </si>
  <si>
    <t>CM-034</t>
  </si>
  <si>
    <t>CM-035</t>
  </si>
  <si>
    <t>CM-036</t>
  </si>
  <si>
    <t>CM-037</t>
  </si>
  <si>
    <t>CM-038</t>
  </si>
  <si>
    <t>CM-039</t>
  </si>
  <si>
    <t>CM-040</t>
  </si>
  <si>
    <t>CM-041</t>
  </si>
  <si>
    <t>CM-042</t>
  </si>
  <si>
    <t>CM-043</t>
  </si>
  <si>
    <t>CM-044</t>
  </si>
  <si>
    <t>CM-045</t>
  </si>
  <si>
    <t>CM-046</t>
  </si>
  <si>
    <t>CM-047</t>
  </si>
  <si>
    <t>CM-048</t>
  </si>
  <si>
    <t>CM-049</t>
  </si>
  <si>
    <t>CM-050</t>
  </si>
  <si>
    <t>CM-051</t>
  </si>
  <si>
    <t>CM-052</t>
  </si>
  <si>
    <t>CM-053</t>
  </si>
  <si>
    <t>CM-054</t>
  </si>
  <si>
    <t>CM-055</t>
  </si>
  <si>
    <t>CM-056</t>
  </si>
  <si>
    <t>CM-057</t>
  </si>
  <si>
    <t>CM-058</t>
  </si>
  <si>
    <t>CM-059</t>
  </si>
  <si>
    <t>CM-060</t>
  </si>
  <si>
    <t>CM-061</t>
  </si>
  <si>
    <t>CM-062</t>
  </si>
  <si>
    <t>CM-063</t>
  </si>
  <si>
    <t>CM-064</t>
  </si>
  <si>
    <t>CM-065</t>
  </si>
  <si>
    <t>CM-066</t>
  </si>
  <si>
    <t>CM-067</t>
  </si>
  <si>
    <t>CM-068</t>
  </si>
  <si>
    <t>CM-069</t>
  </si>
  <si>
    <t>CM-070</t>
  </si>
  <si>
    <t>CM-071</t>
  </si>
  <si>
    <t>CM-072</t>
  </si>
  <si>
    <t>CM-073</t>
  </si>
  <si>
    <t>CM-074</t>
  </si>
  <si>
    <t>CM-075</t>
  </si>
  <si>
    <t>CM-076</t>
  </si>
  <si>
    <t>CM-077</t>
  </si>
  <si>
    <t>CM-078</t>
  </si>
  <si>
    <t>CM-079</t>
  </si>
  <si>
    <t>CM-080</t>
  </si>
  <si>
    <t>CM-081</t>
  </si>
  <si>
    <t>CM-082</t>
  </si>
  <si>
    <t>CM-083</t>
  </si>
  <si>
    <t>CM-084</t>
  </si>
  <si>
    <t>CM-085</t>
  </si>
  <si>
    <t>CM-086</t>
  </si>
  <si>
    <t>CM-087</t>
  </si>
  <si>
    <t>CM-088</t>
  </si>
  <si>
    <t>CM-089</t>
  </si>
  <si>
    <t>CM-090</t>
  </si>
  <si>
    <t>CM-091</t>
  </si>
  <si>
    <t>CM-092</t>
  </si>
  <si>
    <t>CM-093</t>
  </si>
  <si>
    <t>CM-094</t>
  </si>
  <si>
    <t>CM-095</t>
  </si>
  <si>
    <t>CM-096</t>
  </si>
  <si>
    <t>CM-097</t>
  </si>
  <si>
    <t>CM-098</t>
  </si>
  <si>
    <t>CM-099</t>
  </si>
  <si>
    <t>CM-100</t>
  </si>
  <si>
    <t>Agent Name</t>
  </si>
  <si>
    <t>CT-001</t>
  </si>
  <si>
    <t>CT-002</t>
  </si>
  <si>
    <t>CT-003</t>
  </si>
  <si>
    <t>CT-004</t>
  </si>
  <si>
    <t>CT-005</t>
  </si>
  <si>
    <t>CT-006</t>
  </si>
  <si>
    <t>CT-007</t>
  </si>
  <si>
    <t>CT-008</t>
  </si>
  <si>
    <t>CT-009</t>
  </si>
  <si>
    <t>CT-010</t>
  </si>
  <si>
    <t>CT-011</t>
  </si>
  <si>
    <t>CT-012</t>
  </si>
  <si>
    <t>CT-013</t>
  </si>
  <si>
    <t>CT-014</t>
  </si>
  <si>
    <t>CT-015</t>
  </si>
  <si>
    <t>CT-016</t>
  </si>
  <si>
    <t>CT-017</t>
  </si>
  <si>
    <t>CT-018</t>
  </si>
  <si>
    <t>CT-019</t>
  </si>
  <si>
    <t>CT-020</t>
  </si>
  <si>
    <t>CT-021</t>
  </si>
  <si>
    <t>CT-022</t>
  </si>
  <si>
    <t>CT-023</t>
  </si>
  <si>
    <t>CT-024</t>
  </si>
  <si>
    <t>CT-025</t>
  </si>
  <si>
    <t>CT-026</t>
  </si>
  <si>
    <t>CT-027</t>
  </si>
  <si>
    <t>CT-028</t>
  </si>
  <si>
    <t>CT-029</t>
  </si>
  <si>
    <t>CT-030</t>
  </si>
  <si>
    <t>CT-031</t>
  </si>
  <si>
    <t>CT-032</t>
  </si>
  <si>
    <t>CT-033</t>
  </si>
  <si>
    <t>CT-034</t>
  </si>
  <si>
    <t>CT-035</t>
  </si>
  <si>
    <t>CT-036</t>
  </si>
  <si>
    <t>CT-037</t>
  </si>
  <si>
    <t>CT-038</t>
  </si>
  <si>
    <t>CT-039</t>
  </si>
  <si>
    <t>CT-040</t>
  </si>
  <si>
    <t>CT-041</t>
  </si>
  <si>
    <t>CT-042</t>
  </si>
  <si>
    <t>CT-043</t>
  </si>
  <si>
    <t>CT-044</t>
  </si>
  <si>
    <t>CT-045</t>
  </si>
  <si>
    <t>CT-046</t>
  </si>
  <si>
    <t>CT-047</t>
  </si>
  <si>
    <t>CT-048</t>
  </si>
  <si>
    <t>CT-049</t>
  </si>
  <si>
    <t>CT-050</t>
  </si>
  <si>
    <t>CT-051</t>
  </si>
  <si>
    <t>CT-052</t>
  </si>
  <si>
    <t>CT-053</t>
  </si>
  <si>
    <t>CT-054</t>
  </si>
  <si>
    <t>CT-055</t>
  </si>
  <si>
    <t>CT-056</t>
  </si>
  <si>
    <t>CT-057</t>
  </si>
  <si>
    <t>CT-058</t>
  </si>
  <si>
    <t>CT-059</t>
  </si>
  <si>
    <t>CT-060</t>
  </si>
  <si>
    <t>CT-061</t>
  </si>
  <si>
    <t>CT-062</t>
  </si>
  <si>
    <t>CT-063</t>
  </si>
  <si>
    <t>CT-064</t>
  </si>
  <si>
    <t>CT-065</t>
  </si>
  <si>
    <t>CT-066</t>
  </si>
  <si>
    <t>CT-067</t>
  </si>
  <si>
    <t>CT-068</t>
  </si>
  <si>
    <t>CT-069</t>
  </si>
  <si>
    <t>CT-070</t>
  </si>
  <si>
    <t>CT-071</t>
  </si>
  <si>
    <t>CT-072</t>
  </si>
  <si>
    <t>CT-073</t>
  </si>
  <si>
    <t>CT-074</t>
  </si>
  <si>
    <t>CT-075</t>
  </si>
  <si>
    <t>CT-076</t>
  </si>
  <si>
    <t>CT-077</t>
  </si>
  <si>
    <t>CT-078</t>
  </si>
  <si>
    <t>CT-079</t>
  </si>
  <si>
    <t>CT-080</t>
  </si>
  <si>
    <t>CT-081</t>
  </si>
  <si>
    <t>CT-082</t>
  </si>
  <si>
    <t>CT-083</t>
  </si>
  <si>
    <t>CT-084</t>
  </si>
  <si>
    <t>CT-085</t>
  </si>
  <si>
    <t>CT-086</t>
  </si>
  <si>
    <t>CT-087</t>
  </si>
  <si>
    <t>CT-088</t>
  </si>
  <si>
    <t>CT-089</t>
  </si>
  <si>
    <t>CT-090</t>
  </si>
  <si>
    <t>CT-091</t>
  </si>
  <si>
    <t>CT-092</t>
  </si>
  <si>
    <t>CT-093</t>
  </si>
  <si>
    <t>CT-094</t>
  </si>
  <si>
    <t>CT-095</t>
  </si>
  <si>
    <t>CT-096</t>
  </si>
  <si>
    <t>CT-097</t>
  </si>
  <si>
    <t>CT-098</t>
  </si>
  <si>
    <t>CT-099</t>
  </si>
  <si>
    <t>CT-100</t>
  </si>
  <si>
    <t>DROPDOWN NAME</t>
  </si>
  <si>
    <t>GENERAL INFO</t>
  </si>
  <si>
    <t>DN-001</t>
  </si>
  <si>
    <t>DN-002</t>
  </si>
  <si>
    <t>DN-003</t>
  </si>
  <si>
    <t>DN-004</t>
  </si>
  <si>
    <t>DN-005</t>
  </si>
  <si>
    <t>DN-006</t>
  </si>
  <si>
    <t>DN-007</t>
  </si>
  <si>
    <t>DN-008</t>
  </si>
  <si>
    <t>DN-009</t>
  </si>
  <si>
    <t>DN-010</t>
  </si>
  <si>
    <t>GI-001</t>
  </si>
  <si>
    <t>GI-002</t>
  </si>
  <si>
    <t>GI-003</t>
  </si>
  <si>
    <t>GI-004</t>
  </si>
  <si>
    <t>GI-005</t>
  </si>
  <si>
    <t>GI-006</t>
  </si>
  <si>
    <t>GI-007</t>
  </si>
  <si>
    <t>GI-008</t>
  </si>
  <si>
    <t>GI-009</t>
  </si>
  <si>
    <t>GI-010</t>
  </si>
  <si>
    <t>GI-011</t>
  </si>
  <si>
    <t>GI-012</t>
  </si>
  <si>
    <t>GI-013</t>
  </si>
  <si>
    <t>GI-014</t>
  </si>
  <si>
    <t>GI-015</t>
  </si>
  <si>
    <t>GI-016</t>
  </si>
  <si>
    <t>GI-017</t>
  </si>
  <si>
    <t>GI-018</t>
  </si>
  <si>
    <t>GI-019</t>
  </si>
  <si>
    <t>GI-020</t>
  </si>
  <si>
    <t>NewLine</t>
  </si>
  <si>
    <t>"</t>
  </si>
  <si>
    <t>`</t>
  </si>
  <si>
    <t/>
  </si>
  <si>
    <t>//</t>
  </si>
  <si>
    <t>/*</t>
  </si>
  <si>
    <t>&lt;!--</t>
  </si>
  <si>
    <t>testPassword</t>
  </si>
  <si>
    <t>Demo CT-002</t>
  </si>
  <si>
    <t>Demo CT-001</t>
  </si>
  <si>
    <t>http://127.0.0.1</t>
  </si>
  <si>
    <t>http://localhost/</t>
  </si>
  <si>
    <t>Demo - All</t>
  </si>
  <si>
    <t>Demo description</t>
  </si>
  <si>
    <t>Demo - Usr, Pwd, Lnk</t>
  </si>
  <si>
    <t>Demo - Usr, Pwd</t>
  </si>
  <si>
    <t>Demo - Usr only</t>
  </si>
  <si>
    <t>CM-001,CM-002,CM-003,CM-004</t>
  </si>
  <si>
    <t>CM-001,CM-003,CM-005</t>
  </si>
  <si>
    <t>CM-002,CM-004,CM-006</t>
  </si>
  <si>
    <t>Demo - Sky IE</t>
  </si>
  <si>
    <t>http://www.sky.ie</t>
  </si>
  <si>
    <t>Demo - Github</t>
  </si>
  <si>
    <t>http://bojangluvacevic.github.io</t>
  </si>
  <si>
    <t>OMG - Outlook Mail Generator</t>
  </si>
  <si>
    <t>Sky home</t>
  </si>
  <si>
    <t>Menu - Essentials</t>
  </si>
  <si>
    <t>Something Else</t>
  </si>
  <si>
    <t>Menu - Odd</t>
  </si>
  <si>
    <t>Menu - Even</t>
  </si>
  <si>
    <t>Shortcode</t>
  </si>
  <si>
    <t>bgi19</t>
  </si>
  <si>
    <t>Gregory Costello</t>
  </si>
  <si>
    <t>Phone</t>
  </si>
  <si>
    <t>083 020 6362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</si>
</sst>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0" fontId="0" fillId="2" borderId="2" xfId="0" applyFill="1" applyBorder="1"/>
    <xf numFmtId="0" fontId="0" fillId="2" borderId="0" xfId="0" applyFill="1"/>
    <xf numFmtId="0" fontId="0" fillId="2" borderId="4" xfId="0" applyFill="1" applyBorder="1"/>
    <xf numFmtId="0" fontId="0" fillId="2" borderId="6" xfId="0" applyFill="1" applyBorder="1"/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8" xfId="0" applyFill="1" applyBorder="1"/>
    <xf numFmtId="0" fontId="0" fillId="2" borderId="0" xfId="0" applyFill="1" applyBorder="1"/>
    <xf numFmtId="0" fontId="2" fillId="2" borderId="9" xfId="0" applyFont="1" applyFill="1" applyBorder="1"/>
    <xf numFmtId="0" fontId="1" fillId="2" borderId="9" xfId="0" applyFont="1" applyFill="1" applyBorder="1"/>
    <xf numFmtId="0" fontId="0" fillId="2" borderId="10" xfId="0" applyFill="1" applyBorder="1"/>
    <xf numFmtId="0" fontId="1" fillId="2" borderId="9" xfId="0" applyFont="1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49" fontId="1" fillId="2" borderId="1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/>
    <xf numFmtId="0" fontId="7" fillId="2" borderId="0" xfId="0" quotePrefix="1" applyFont="1" applyFill="1" applyAlignment="1"/>
    <xf numFmtId="0" fontId="8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8" fillId="2" borderId="0" xfId="0" applyFont="1" applyFill="1" applyAlignment="1">
      <alignment vertical="center"/>
    </xf>
    <xf numFmtId="0" fontId="7" fillId="2" borderId="0" xfId="0" applyFont="1" applyFill="1"/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2" borderId="0" xfId="0" applyFont="1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0" fontId="0" fillId="2" borderId="0" xfId="0" applyFill="1" applyBorder="1" applyProtection="1"/>
    <xf numFmtId="0" fontId="0" fillId="2" borderId="5" xfId="0" applyFill="1" applyBorder="1" applyAlignment="1" applyProtection="1">
      <alignment horizontal="left" vertical="center"/>
    </xf>
    <xf numFmtId="49" fontId="0" fillId="2" borderId="0" xfId="0" applyNumberFormat="1" applyFill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19050</xdr:colOff>
      <xdr:row>1</xdr:row>
      <xdr:rowOff>76199</xdr:rowOff>
    </xdr:from>
    <xdr:ext cx="3638550" cy="264560"/>
    <xdr:sp macro="" textlink="">
      <xdr:nvSpPr>
        <xdr:cNvPr id="2" name="txtOutput">
          <a:extLst>
            <a:ext uri="{FF2B5EF4-FFF2-40B4-BE49-F238E27FC236}">
              <a16:creationId xmlns="" xmlns:a16="http://schemas.microsoft.com/office/drawing/2014/main" id="{D7986306-8BF2-4FC4-8AC2-7F8D716BDAFE}"/>
            </a:ext>
          </a:extLst>
        </xdr:cNvPr>
        <xdr:cNvSpPr txBox="1"/>
      </xdr:nvSpPr>
      <xdr:spPr>
        <a:xfrm>
          <a:off x="8997950" y="260349"/>
          <a:ext cx="3638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CA" sz="1100"/>
        </a:p>
      </xdr:txBody>
    </xdr:sp>
    <xdr:clientData/>
  </xdr:oneCellAnchor>
  <xdr:oneCellAnchor>
    <xdr:from>
      <xdr:col>0</xdr:col>
      <xdr:colOff>171450</xdr:colOff>
      <xdr:row>0</xdr:row>
      <xdr:rowOff>57150</xdr:rowOff>
    </xdr:from>
    <xdr:ext cx="8362950" cy="86033424"/>
    <xdr:sp macro="" textlink="">
      <xdr:nvSpPr>
        <xdr:cNvPr id="3" name="txtTemplate">
          <a:extLst>
            <a:ext uri="{FF2B5EF4-FFF2-40B4-BE49-F238E27FC236}">
              <a16:creationId xmlns="" xmlns:a16="http://schemas.microsoft.com/office/drawing/2014/main" id="{5FCE6AF5-C33B-40AD-89CC-DC60632DC45E}"/>
            </a:ext>
          </a:extLst>
        </xdr:cNvPr>
        <xdr:cNvSpPr txBox="1"/>
      </xdr:nvSpPr>
      <xdr:spPr>
        <a:xfrm>
          <a:off x="171450" y="57150"/>
          <a:ext cx="8362950" cy="860334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/>
            <a:t>&lt;!doctype html&gt;</a:t>
          </a:r>
        </a:p>
        <a:p>
          <a:r>
            <a:rPr lang="en-CA" sz="1100"/>
            <a:t>&lt;html lang="en"&gt;</a:t>
          </a:r>
        </a:p>
        <a:p>
          <a:r>
            <a:rPr lang="en-CA" sz="1100"/>
            <a:t>  &lt;head&gt;</a:t>
          </a:r>
        </a:p>
        <a:p>
          <a:r>
            <a:rPr lang="en-CA" sz="1100"/>
            <a:t>    &lt;meta charset="utf-8"&gt;</a:t>
          </a:r>
        </a:p>
        <a:p>
          <a:r>
            <a:rPr lang="en-CA" sz="1100"/>
            <a:t>   &lt;link rel="stylesheet" href="https://maxcdn.bootstrapcdn.com/bootstrap/4.5.2/css/bootstrap.min.css"&gt;</a:t>
          </a:r>
        </a:p>
        <a:p>
          <a:r>
            <a:rPr lang="en-CA" sz="1100"/>
            <a:t>   &lt;script&gt;</a:t>
          </a:r>
        </a:p>
        <a:p>
          <a:r>
            <a:rPr lang="en-CA" sz="1100"/>
            <a:t>   class AccessCredential {</a:t>
          </a:r>
        </a:p>
        <a:p>
          <a:r>
            <a:rPr lang="en-CA" sz="1100"/>
            <a:t>	constructor(name, user, pwd, loc, desc) {</a:t>
          </a:r>
        </a:p>
        <a:p>
          <a:r>
            <a:rPr lang="en-CA" sz="1100"/>
            <a:t>		this.name = name;</a:t>
          </a:r>
        </a:p>
        <a:p>
          <a:r>
            <a:rPr lang="en-CA" sz="1100"/>
            <a:t>		this.user = user;</a:t>
          </a:r>
        </a:p>
        <a:p>
          <a:r>
            <a:rPr lang="en-CA" sz="1100"/>
            <a:t>		this.pwd = pwd;</a:t>
          </a:r>
        </a:p>
        <a:p>
          <a:r>
            <a:rPr lang="en-CA" sz="1100"/>
            <a:t>		this.loc = loc;</a:t>
          </a:r>
        </a:p>
        <a:p>
          <a:r>
            <a:rPr lang="en-CA" sz="1100"/>
            <a:t>		this.desc = desc;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	//print credentials</a:t>
          </a:r>
        </a:p>
        <a:p>
          <a:r>
            <a:rPr lang="en-CA" sz="1100"/>
            <a:t>	print(){</a:t>
          </a:r>
        </a:p>
        <a:p>
          <a:r>
            <a:rPr lang="en-CA" sz="1100"/>
            <a:t>		var output = ``;</a:t>
          </a:r>
        </a:p>
        <a:p>
          <a:r>
            <a:rPr lang="en-CA" sz="1100"/>
            <a:t>		</a:t>
          </a:r>
        </a:p>
        <a:p>
          <a:r>
            <a:rPr lang="en-CA" sz="1100"/>
            <a:t>		//append title</a:t>
          </a:r>
        </a:p>
        <a:p>
          <a:r>
            <a:rPr lang="en-CA" sz="1100"/>
            <a:t>		output += `&lt;label class="lbl-marker-title"&gt;${this.name}&lt;/label&gt;`;</a:t>
          </a:r>
        </a:p>
        <a:p>
          <a:r>
            <a:rPr lang="en-CA" sz="1100"/>
            <a:t>				</a:t>
          </a:r>
        </a:p>
        <a:p>
          <a:r>
            <a:rPr lang="en-CA" sz="1100"/>
            <a:t>		//append username</a:t>
          </a:r>
        </a:p>
        <a:p>
          <a:r>
            <a:rPr lang="en-CA" sz="1100"/>
            <a:t>		output += (this.user != null) ? `&lt;label class="lbl-marker" title="Copy Username to Clipboard" onclick="navigator.clipboard.writeText('${this.user}');"&gt;USR&lt;/label&gt;` : ``;</a:t>
          </a:r>
        </a:p>
        <a:p>
          <a:r>
            <a:rPr lang="en-CA" sz="1100"/>
            <a:t>		</a:t>
          </a:r>
        </a:p>
        <a:p>
          <a:r>
            <a:rPr lang="en-CA" sz="1100"/>
            <a:t>		//append password</a:t>
          </a:r>
        </a:p>
        <a:p>
          <a:r>
            <a:rPr lang="en-CA" sz="1100"/>
            <a:t>		output += (this.pwd != null) ?`&lt;label class="lbl-marker" title="Copy Password to Clipboard" onclick="navigator.clipboard.writeText('${this.pwd}');"&gt;PWD&lt;/label&gt;` : ``;</a:t>
          </a:r>
        </a:p>
        <a:p>
          <a:r>
            <a:rPr lang="en-CA" sz="1100"/>
            <a:t>		</a:t>
          </a:r>
        </a:p>
        <a:p>
          <a:r>
            <a:rPr lang="en-CA" sz="1100"/>
            <a:t>		//append location</a:t>
          </a:r>
        </a:p>
        <a:p>
          <a:r>
            <a:rPr lang="en-CA" sz="1100"/>
            <a:t>		output +=  (this.loc != null) ? `&lt;label class="lbl-marker" title="Location: ${this.loc}" onclick="navigator.clipboard.writeText('${this.loc}');"&gt;URL&lt;/label&gt;` : ``;</a:t>
          </a:r>
        </a:p>
        <a:p>
          <a:endParaRPr lang="en-CA" sz="1100"/>
        </a:p>
        <a:p>
          <a:r>
            <a:rPr lang="en-CA" sz="1100"/>
            <a:t>		//append description</a:t>
          </a:r>
        </a:p>
        <a:p>
          <a:r>
            <a:rPr lang="en-CA" sz="1100"/>
            <a:t>		output += (this.desc != null) ? `&lt;label class="lbl-marker" title="Description:\n${this.desc}" onclick="navigator.clipboard.writeText('${this.desc}');"&gt;DES&lt;/label&gt;` : ``;</a:t>
          </a:r>
        </a:p>
        <a:p>
          <a:r>
            <a:rPr lang="en-CA" sz="1100"/>
            <a:t>		</a:t>
          </a:r>
        </a:p>
        <a:p>
          <a:r>
            <a:rPr lang="en-CA" sz="1100"/>
            <a:t>		output += `&lt;label class="lbl-marker-right"&gt;&lt;/label&gt;`;</a:t>
          </a:r>
        </a:p>
        <a:p>
          <a:r>
            <a:rPr lang="en-CA" sz="1100"/>
            <a:t>		</a:t>
          </a:r>
        </a:p>
        <a:p>
          <a:r>
            <a:rPr lang="en-CA" sz="1100"/>
            <a:t>		//write menu HTML output</a:t>
          </a:r>
        </a:p>
        <a:p>
          <a:r>
            <a:rPr lang="en-CA" sz="1100"/>
            <a:t>		document.write(output);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		get(){</a:t>
          </a:r>
        </a:p>
        <a:p>
          <a:r>
            <a:rPr lang="en-CA" sz="1100"/>
            <a:t>		var output = ``;</a:t>
          </a:r>
        </a:p>
        <a:p>
          <a:r>
            <a:rPr lang="en-CA" sz="1100"/>
            <a:t>		</a:t>
          </a:r>
        </a:p>
        <a:p>
          <a:r>
            <a:rPr lang="en-CA" sz="1100"/>
            <a:t>		//append title</a:t>
          </a:r>
        </a:p>
        <a:p>
          <a:r>
            <a:rPr lang="en-CA" sz="1100"/>
            <a:t>		output += `&lt;label class="lbl-marker-title"&gt;${this.name}&lt;/label&gt;`;</a:t>
          </a:r>
        </a:p>
        <a:p>
          <a:r>
            <a:rPr lang="en-CA" sz="1100"/>
            <a:t>				</a:t>
          </a:r>
        </a:p>
        <a:p>
          <a:r>
            <a:rPr lang="en-CA" sz="1100"/>
            <a:t>		//append username</a:t>
          </a:r>
        </a:p>
        <a:p>
          <a:r>
            <a:rPr lang="en-CA" sz="1100"/>
            <a:t>		output += (this.user != null) ? `&lt;label class="lbl-marker" title="Copy Username to Clipboard" onclick="navigator.clipboard.writeText('${this.user}');"&gt;USR&lt;/label&gt;` : ``;</a:t>
          </a:r>
        </a:p>
        <a:p>
          <a:r>
            <a:rPr lang="en-CA" sz="1100"/>
            <a:t>		</a:t>
          </a:r>
        </a:p>
        <a:p>
          <a:r>
            <a:rPr lang="en-CA" sz="1100"/>
            <a:t>		//append password</a:t>
          </a:r>
        </a:p>
        <a:p>
          <a:r>
            <a:rPr lang="en-CA" sz="1100"/>
            <a:t>		output += (this.pwd != null) ?`&lt;label class="lbl-marker" title="Copy Password to Clipboard" onclick="navigator.clipboard.writeText('${this.pwd}');"&gt;PWD&lt;/label&gt;` : ``;</a:t>
          </a:r>
        </a:p>
        <a:p>
          <a:r>
            <a:rPr lang="en-CA" sz="1100"/>
            <a:t>		</a:t>
          </a:r>
        </a:p>
        <a:p>
          <a:r>
            <a:rPr lang="en-CA" sz="1100"/>
            <a:t>		//append location</a:t>
          </a:r>
        </a:p>
        <a:p>
          <a:r>
            <a:rPr lang="en-CA" sz="1100"/>
            <a:t>		output +=  (this.loc != null) ? `&lt;label class="lbl-marker" title="Location: ${this.loc}" onclick="navigator.clipboard.writeText('${this.loc}');"&gt;URL&lt;/label&gt;` : ``;</a:t>
          </a:r>
        </a:p>
        <a:p>
          <a:endParaRPr lang="en-CA" sz="1100"/>
        </a:p>
        <a:p>
          <a:r>
            <a:rPr lang="en-CA" sz="1100"/>
            <a:t>		//append description</a:t>
          </a:r>
        </a:p>
        <a:p>
          <a:r>
            <a:rPr lang="en-CA" sz="1100"/>
            <a:t>		output += (this.desc != null) ? `&lt;label class="lbl-marker" title="Description:\n${this.desc}" onclick="navigator.clipboard.writeText('${this.desc}');"&gt;DES&lt;/label&gt;` : ``;</a:t>
          </a:r>
        </a:p>
        <a:p>
          <a:r>
            <a:rPr lang="en-CA" sz="1100"/>
            <a:t>		</a:t>
          </a:r>
        </a:p>
        <a:p>
          <a:r>
            <a:rPr lang="en-CA" sz="1100"/>
            <a:t>		output += `&lt;label class="lbl-marker-right"&gt;&lt;/label&gt;`;</a:t>
          </a:r>
        </a:p>
        <a:p>
          <a:r>
            <a:rPr lang="en-CA" sz="1100"/>
            <a:t>		</a:t>
          </a:r>
        </a:p>
        <a:p>
          <a:r>
            <a:rPr lang="en-CA" sz="1100"/>
            <a:t>		//write menu HTML output</a:t>
          </a:r>
        </a:p>
        <a:p>
          <a:r>
            <a:rPr lang="en-CA" sz="1100"/>
            <a:t>		return (output);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}</a:t>
          </a:r>
        </a:p>
        <a:p>
          <a:r>
            <a:rPr lang="en-CA" sz="1100"/>
            <a:t>class ContentBox {</a:t>
          </a: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constructor(id, title, info) {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this.id = id;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this.title = title;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this.info = info;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}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//print credentials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print(){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var output = `&lt;div class="col-md-4"&gt;`;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//append title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output += `&lt;h2&gt;${this.title}&lt;/h2&gt;`;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//append info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output += `&lt;p onclick="navigator.clipboard.writeText('${this.info}');"&gt;${this.info}&lt;/p&gt;`;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//append closure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output += `&lt;/div&gt;`;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//write HTML output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document.write(output);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}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get(){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var output = `&lt;div class="col-md-4"&gt;`;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//append title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output += `&lt;h2&gt;${this.title}&lt;/h2&gt;`;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//append info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output += `&lt;p onclick="navigator.clipboard.writeText('${this.info}');"&gt;${this.info}&lt;/p&gt;`;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//append closure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output += `&lt;/div&gt;`;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//return HTML output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	return output;</a:t>
          </a:r>
          <a:endParaRPr lang="en-GB">
            <a:effectLst/>
          </a:endParaRPr>
        </a:p>
        <a:p>
          <a:r>
            <a:rPr lang="en-CA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}</a:t>
          </a:r>
          <a:endParaRPr lang="en-CA" sz="1100"/>
        </a:p>
        <a:p>
          <a:endParaRPr lang="en-CA" sz="1100"/>
        </a:p>
        <a:p>
          <a:r>
            <a:rPr lang="en-CA" sz="1100"/>
            <a:t>}</a:t>
          </a:r>
        </a:p>
        <a:p>
          <a:endParaRPr lang="en-CA" sz="1100"/>
        </a:p>
        <a:p>
          <a:r>
            <a:rPr lang="en-CA" sz="1100"/>
            <a:t>class InfoLink {</a:t>
          </a:r>
        </a:p>
        <a:p>
          <a:r>
            <a:rPr lang="en-CA" sz="1100"/>
            <a:t>	constructor(id, title, info) {</a:t>
          </a:r>
        </a:p>
        <a:p>
          <a:r>
            <a:rPr lang="en-CA" sz="1100"/>
            <a:t>		this.id = id;</a:t>
          </a:r>
        </a:p>
        <a:p>
          <a:r>
            <a:rPr lang="en-CA" sz="1100"/>
            <a:t>		this.title = title;</a:t>
          </a:r>
        </a:p>
        <a:p>
          <a:r>
            <a:rPr lang="en-CA" sz="1100"/>
            <a:t>		this.info = info;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	//print credentials</a:t>
          </a:r>
        </a:p>
        <a:p>
          <a:r>
            <a:rPr lang="en-CA" sz="1100"/>
            <a:t>	print(){</a:t>
          </a:r>
        </a:p>
        <a:p>
          <a:r>
            <a:rPr lang="en-CA" sz="1100"/>
            <a:t>		var output = ``;</a:t>
          </a:r>
        </a:p>
        <a:p>
          <a:r>
            <a:rPr lang="en-CA" sz="1100"/>
            <a:t>		</a:t>
          </a:r>
        </a:p>
        <a:p>
          <a:r>
            <a:rPr lang="en-CA" sz="1100"/>
            <a:t>		//append title</a:t>
          </a:r>
        </a:p>
        <a:p>
          <a:r>
            <a:rPr lang="en-CA" sz="1100"/>
            <a:t>		output += `&lt;label class="lbl-marker-title-info"&gt;${this.title}&lt;/label&gt;`;</a:t>
          </a:r>
        </a:p>
        <a:p>
          <a:r>
            <a:rPr lang="en-CA" sz="1100"/>
            <a:t>				</a:t>
          </a:r>
        </a:p>
        <a:p>
          <a:r>
            <a:rPr lang="en-CA" sz="1100"/>
            <a:t>		//append info</a:t>
          </a:r>
        </a:p>
        <a:p>
          <a:r>
            <a:rPr lang="en-CA" sz="1100"/>
            <a:t>		output += `&lt;label class="lbl-marker-info" title="Copy to Clipboard" onclick="navigator.clipboard.writeText('${this.info}');"&gt;${this.info}&lt;/label&gt;`;</a:t>
          </a:r>
        </a:p>
        <a:p>
          <a:r>
            <a:rPr lang="en-CA" sz="1100"/>
            <a:t>		</a:t>
          </a:r>
        </a:p>
        <a:p>
          <a:r>
            <a:rPr lang="en-CA" sz="1100"/>
            <a:t>		//append closure</a:t>
          </a:r>
        </a:p>
        <a:p>
          <a:r>
            <a:rPr lang="en-CA" sz="1100"/>
            <a:t>		output += `&lt;label class="lbl-marker-right"&gt;&lt;/label&gt;`;</a:t>
          </a:r>
        </a:p>
        <a:p>
          <a:r>
            <a:rPr lang="en-CA" sz="1100"/>
            <a:t>		</a:t>
          </a:r>
        </a:p>
        <a:p>
          <a:r>
            <a:rPr lang="en-CA" sz="1100"/>
            <a:t>		//write menu HTML output</a:t>
          </a:r>
        </a:p>
        <a:p>
          <a:r>
            <a:rPr lang="en-CA" sz="1100"/>
            <a:t>		document.write(output);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	get(){</a:t>
          </a:r>
        </a:p>
        <a:p>
          <a:r>
            <a:rPr lang="en-CA" sz="1100"/>
            <a:t>		var output = ``;</a:t>
          </a:r>
        </a:p>
        <a:p>
          <a:r>
            <a:rPr lang="en-CA" sz="1100"/>
            <a:t>		</a:t>
          </a:r>
        </a:p>
        <a:p>
          <a:r>
            <a:rPr lang="en-CA" sz="1100"/>
            <a:t>		//append title</a:t>
          </a:r>
        </a:p>
        <a:p>
          <a:r>
            <a:rPr lang="en-CA" sz="1100"/>
            <a:t>		output += `&lt;label class="lbl-marker-title-info"&gt;${this.title}&lt;/label&gt;`;</a:t>
          </a:r>
        </a:p>
        <a:p>
          <a:r>
            <a:rPr lang="en-CA" sz="1100"/>
            <a:t>				</a:t>
          </a:r>
        </a:p>
        <a:p>
          <a:r>
            <a:rPr lang="en-CA" sz="1100"/>
            <a:t>		//append info</a:t>
          </a:r>
        </a:p>
        <a:p>
          <a:r>
            <a:rPr lang="en-CA" sz="1100"/>
            <a:t>		output += `&lt;label class="lbl-marker-info" title="Copy to Clipboard" onclick="navigator.clipboard.writeText('${this.info}');"&gt;${this.info}&lt;/label&gt;`;</a:t>
          </a:r>
        </a:p>
        <a:p>
          <a:r>
            <a:rPr lang="en-CA" sz="1100"/>
            <a:t>		</a:t>
          </a:r>
        </a:p>
        <a:p>
          <a:r>
            <a:rPr lang="en-CA" sz="1100"/>
            <a:t>		//append closure</a:t>
          </a:r>
        </a:p>
        <a:p>
          <a:r>
            <a:rPr lang="en-CA" sz="1100"/>
            <a:t>		output += `&lt;label class="lbl-marker-right"&gt;&lt;/label&gt;`;</a:t>
          </a:r>
        </a:p>
        <a:p>
          <a:r>
            <a:rPr lang="en-CA" sz="1100"/>
            <a:t>		</a:t>
          </a:r>
        </a:p>
        <a:p>
          <a:r>
            <a:rPr lang="en-CA" sz="1100"/>
            <a:t>		//write menu HTML output</a:t>
          </a:r>
        </a:p>
        <a:p>
          <a:r>
            <a:rPr lang="en-CA" sz="1100"/>
            <a:t>		return output;</a:t>
          </a:r>
        </a:p>
        <a:p>
          <a:r>
            <a:rPr lang="en-CA" sz="1100"/>
            <a:t>	}</a:t>
          </a:r>
        </a:p>
        <a:p>
          <a:r>
            <a:rPr lang="en-CA" sz="1100"/>
            <a:t>}</a:t>
          </a:r>
        </a:p>
        <a:p>
          <a:endParaRPr lang="en-CA" sz="1100"/>
        </a:p>
        <a:p>
          <a:r>
            <a:rPr lang="en-CA" sz="1100"/>
            <a:t>class Copyright {</a:t>
          </a:r>
        </a:p>
        <a:p>
          <a:r>
            <a:rPr lang="en-CA" sz="1100"/>
            <a:t>	constructor(name) {</a:t>
          </a:r>
        </a:p>
        <a:p>
          <a:r>
            <a:rPr lang="en-CA" sz="1100"/>
            <a:t>		this.name = name;</a:t>
          </a:r>
        </a:p>
        <a:p>
          <a:r>
            <a:rPr lang="en-CA" sz="1100"/>
            <a:t>		this.year = "2021";</a:t>
          </a:r>
        </a:p>
        <a:p>
          <a:r>
            <a:rPr lang="en-CA" sz="1100"/>
            <a:t>	}</a:t>
          </a:r>
        </a:p>
        <a:p>
          <a:endParaRPr lang="en-CA" sz="1100"/>
        </a:p>
        <a:p>
          <a:r>
            <a:rPr lang="en-CA" sz="1100"/>
            <a:t>	//Constructor methods</a:t>
          </a:r>
        </a:p>
        <a:p>
          <a:r>
            <a:rPr lang="en-CA" sz="1100"/>
            <a:t>	print() {</a:t>
          </a:r>
        </a:p>
        <a:p>
          <a:r>
            <a:rPr lang="en-CA" sz="1100"/>
            <a:t>		return `&amp;copy; ${this.name} - ${this.year}`;</a:t>
          </a:r>
        </a:p>
        <a:p>
          <a:r>
            <a:rPr lang="en-CA" sz="1100"/>
            <a:t>	}</a:t>
          </a:r>
        </a:p>
        <a:p>
          <a:r>
            <a:rPr lang="en-CA" sz="1100"/>
            <a:t>}</a:t>
          </a:r>
        </a:p>
        <a:p>
          <a:endParaRPr lang="en-CA" sz="1100"/>
        </a:p>
        <a:p>
          <a:r>
            <a:rPr lang="en-CA" sz="1100"/>
            <a:t>class Speller{</a:t>
          </a:r>
        </a:p>
        <a:p>
          <a:r>
            <a:rPr lang="en-CA" sz="1100"/>
            <a:t>	constructor(inputElementID, outputContainerID) {</a:t>
          </a:r>
        </a:p>
        <a:p>
          <a:r>
            <a:rPr lang="en-CA" sz="1100"/>
            <a:t>		this.inputWord = document.getElementById(inputElementID).value.toLowerCase();</a:t>
          </a:r>
        </a:p>
        <a:p>
          <a:r>
            <a:rPr lang="en-CA" sz="1100"/>
            <a:t>		this.outputContainerID = outputContainerID;</a:t>
          </a:r>
        </a:p>
        <a:p>
          <a:r>
            <a:rPr lang="en-CA" sz="1100"/>
            <a:t>		this.alphabet = [['a', 'alpha'], ['b', 'bravo'], ['c', 'charlie'], ['d', 'delta'], ['e', 'echo'], ['f', 'foxtrot'], ['g', 'golf'], ['h', 'hotel'], ['i', 'india'], ['j', 'juliett'], ['k', 'kilo'], ['l', 'lima'], ['m', 'mike'], ['n', 'november'], ['o', 'oscar'], ['p', 'papa'], ['q', 'quebec'], ['r', 'romeo'], ['s', 'sierra'], ['t', 'tango'], ['u', 'uniform'], ['v', 'victor'], ['w', 'whiskey'], ['x', 'xray'], ['y', 'yankee'], ['z', 'zulu']];</a:t>
          </a:r>
        </a:p>
        <a:p>
          <a:r>
            <a:rPr lang="en-CA" sz="1100"/>
            <a:t>		this.specialCharacters = [[' ', '[space]'], ['!', 'exclamation mark'], ['?', 'question mark'], ['@', 'ampersat or at sign'], ['#', 'hash or number sign'], ['*', 'asterisk or star'], ['~', 'tilde'], ['/', 'forward slash'], ['\\', 'backslash'], ['|', 'pipe or vertical bar'], ['^', 'caret'], ['\'', 'apostrophe'], [':', 'colon'], [';', 'semicolon'], ['{', 'open curly bracket'], ['}', 'closed curly bracket'], ['[', 'open square bracket'], [']', 'closed square bracket'],['(', 'open parenthesis'], [')', 'closed parenthesis'],['&lt;', 'angle bracket open / less'], ['&gt;', 'angle bracket closed / more'], ['=', 'equal sign'],['-', 'minus sign / dash'],['+', 'plus sign'],['£', 'pound sign'], ['$', 'dollar sign'],['.', 'period sign'], [',', 'comma sign'],['_', 'underscore sign'], ['&amp;', 'and sign / ampersand'],['%', 'percent sign'], ['"', 'quotation mark']];</a:t>
          </a:r>
        </a:p>
        <a:p>
          <a:r>
            <a:rPr lang="en-CA" sz="1100"/>
            <a:t>		this.numericValues = [['0', 'number zero'], ['1', 'number one'], ['2', 'number two'], ['3', 'number three'], ['4', 'number four'], ['5', 'number five'], ['6', 'number six'], ['7', 'number seven'], ['8', 'number eight'], ['9', 'number nine']];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	//Spell it out to the destination container</a:t>
          </a:r>
        </a:p>
        <a:p>
          <a:r>
            <a:rPr lang="en-CA" sz="1100"/>
            <a:t>	spellPhonetically() {	</a:t>
          </a:r>
        </a:p>
        <a:p>
          <a:r>
            <a:rPr lang="en-CA" sz="1100"/>
            <a:t>			//clear the output container</a:t>
          </a:r>
        </a:p>
        <a:p>
          <a:r>
            <a:rPr lang="en-CA" sz="1100"/>
            <a:t>			var container = document.getElementById(this.outputContainerID);</a:t>
          </a:r>
        </a:p>
        <a:p>
          <a:r>
            <a:rPr lang="en-CA" sz="1100"/>
            <a:t>			container.innerHTML = '';</a:t>
          </a:r>
        </a:p>
        <a:p>
          <a:r>
            <a:rPr lang="en-CA" sz="1100"/>
            <a:t>			</a:t>
          </a:r>
        </a:p>
        <a:p>
          <a:r>
            <a:rPr lang="en-CA" sz="1100"/>
            <a:t>			//check first if we have something to spellPhonetically</a:t>
          </a:r>
        </a:p>
        <a:p>
          <a:r>
            <a:rPr lang="en-CA" sz="1100"/>
            <a:t>			if(this.inputWord.length &lt; 1)</a:t>
          </a:r>
        </a:p>
        <a:p>
          <a:r>
            <a:rPr lang="en-CA" sz="1100"/>
            <a:t>			{</a:t>
          </a:r>
        </a:p>
        <a:p>
          <a:r>
            <a:rPr lang="en-CA" sz="1100"/>
            <a:t>				container.parentElement.style.display = 'none'; //hide the container</a:t>
          </a:r>
        </a:p>
        <a:p>
          <a:r>
            <a:rPr lang="en-CA" sz="1100"/>
            <a:t>				return;</a:t>
          </a:r>
        </a:p>
        <a:p>
          <a:r>
            <a:rPr lang="en-CA" sz="1100"/>
            <a:t>			}</a:t>
          </a:r>
        </a:p>
        <a:p>
          <a:r>
            <a:rPr lang="en-CA" sz="1100"/>
            <a:t>			else</a:t>
          </a:r>
        </a:p>
        <a:p>
          <a:r>
            <a:rPr lang="en-CA" sz="1100"/>
            <a:t>				container.parentElement.style.display = ''; //unhide parent container and show the spelling</a:t>
          </a:r>
        </a:p>
        <a:p>
          <a:endParaRPr lang="en-CA" sz="1100"/>
        </a:p>
        <a:p>
          <a:endParaRPr lang="en-CA" sz="1100"/>
        </a:p>
        <a:p>
          <a:r>
            <a:rPr lang="en-CA" sz="1100"/>
            <a:t>			</a:t>
          </a:r>
        </a:p>
        <a:p>
          <a:r>
            <a:rPr lang="en-CA" sz="1100"/>
            <a:t>			for(var i=0; i&lt;this.inputWord.length; i++){</a:t>
          </a:r>
        </a:p>
        <a:p>
          <a:r>
            <a:rPr lang="en-CA" sz="1100"/>
            <a:t>				//check if we have phonetic sound for the character</a:t>
          </a:r>
        </a:p>
        <a:p>
          <a:r>
            <a:rPr lang="en-CA" sz="1100"/>
            <a:t>				for(var j=0; j&lt;this.alphabet.length; j++){</a:t>
          </a:r>
        </a:p>
        <a:p>
          <a:r>
            <a:rPr lang="en-CA" sz="1100"/>
            <a:t>					if(this.inputWord.charAt(i) == this.alphabet[j][0]){</a:t>
          </a:r>
        </a:p>
        <a:p>
          <a:r>
            <a:rPr lang="en-CA" sz="1100"/>
            <a:t>							container.insertAdjacentHTML('beforeend','&lt;div class="phonetic"&gt;' + this.alphabet[j][0] + '&lt;span&gt;' + this.alphabet[j][1] + '&lt;/span&gt;&lt;/div&gt;');</a:t>
          </a:r>
        </a:p>
        <a:p>
          <a:r>
            <a:rPr lang="en-CA" sz="1100"/>
            <a:t>					}</a:t>
          </a:r>
        </a:p>
        <a:p>
          <a:r>
            <a:rPr lang="en-CA" sz="1100"/>
            <a:t>				}</a:t>
          </a:r>
        </a:p>
        <a:p>
          <a:r>
            <a:rPr lang="en-CA" sz="1100"/>
            <a:t>				</a:t>
          </a:r>
        </a:p>
        <a:p>
          <a:r>
            <a:rPr lang="en-CA" sz="1100"/>
            <a:t>				//check if it's a special character (symbol)</a:t>
          </a:r>
        </a:p>
        <a:p>
          <a:r>
            <a:rPr lang="en-CA" sz="1100"/>
            <a:t>				for(var j=0; j&lt;this.specialCharacters.length; j++){</a:t>
          </a:r>
        </a:p>
        <a:p>
          <a:r>
            <a:rPr lang="en-CA" sz="1100"/>
            <a:t>					if(this.inputWord.charAt(i) == this.specialCharacters[j][0]){	</a:t>
          </a:r>
        </a:p>
        <a:p>
          <a:r>
            <a:rPr lang="en-CA" sz="1100"/>
            <a:t>					//identify the special character</a:t>
          </a:r>
        </a:p>
        <a:p>
          <a:r>
            <a:rPr lang="en-CA" sz="1100"/>
            <a:t>					container.insertAdjacentHTML('beforeend','&lt;div class="phonetic"&gt;' + this.specialCharacters[j][0] + '&lt;span&gt;' + this.specialCharacters[j][1] + '&lt;/span&gt;&lt;/div&gt;');</a:t>
          </a:r>
        </a:p>
        <a:p>
          <a:r>
            <a:rPr lang="en-CA" sz="1100"/>
            <a:t>					}</a:t>
          </a:r>
        </a:p>
        <a:p>
          <a:r>
            <a:rPr lang="en-CA" sz="1100"/>
            <a:t>				}</a:t>
          </a:r>
        </a:p>
        <a:p>
          <a:r>
            <a:rPr lang="en-CA" sz="1100"/>
            <a:t>				//check if it's a numeric value</a:t>
          </a:r>
        </a:p>
        <a:p>
          <a:r>
            <a:rPr lang="en-CA" sz="1100"/>
            <a:t>				for(var j=0; j&lt;this.numericValues.length; j++){</a:t>
          </a:r>
        </a:p>
        <a:p>
          <a:r>
            <a:rPr lang="en-CA" sz="1100"/>
            <a:t>					if(this.inputWord.charAt(i) == this.numericValues[j][0]){	</a:t>
          </a:r>
        </a:p>
        <a:p>
          <a:r>
            <a:rPr lang="en-CA" sz="1100"/>
            <a:t>					//identify the special character</a:t>
          </a:r>
        </a:p>
        <a:p>
          <a:r>
            <a:rPr lang="en-CA" sz="1100"/>
            <a:t>					container.insertAdjacentHTML('beforeend','&lt;div class="phonetic"&gt;' + this.numericValues[j][0] + '&lt;span&gt;' + this.numericValues[j][1] + '&lt;/span&gt;&lt;/div&gt;');</a:t>
          </a:r>
        </a:p>
        <a:p>
          <a:r>
            <a:rPr lang="en-CA" sz="1100"/>
            <a:t>					}</a:t>
          </a:r>
        </a:p>
        <a:p>
          <a:r>
            <a:rPr lang="en-CA" sz="1100"/>
            <a:t>				}</a:t>
          </a:r>
        </a:p>
        <a:p>
          <a:r>
            <a:rPr lang="en-CA" sz="1100"/>
            <a:t>			}</a:t>
          </a:r>
        </a:p>
        <a:p>
          <a:r>
            <a:rPr lang="en-CA" sz="1100"/>
            <a:t>	}</a:t>
          </a:r>
        </a:p>
        <a:p>
          <a:r>
            <a:rPr lang="en-CA" sz="1100"/>
            <a:t>}</a:t>
          </a:r>
        </a:p>
        <a:p>
          <a:endParaRPr lang="en-CA" sz="1100"/>
        </a:p>
        <a:p>
          <a:endParaRPr lang="en-CA" sz="1100"/>
        </a:p>
        <a:p>
          <a:r>
            <a:rPr lang="en-CA" sz="1100"/>
            <a:t>   &lt;/script&gt;</a:t>
          </a:r>
        </a:p>
        <a:p>
          <a:r>
            <a:rPr lang="en-CA" sz="1100"/>
            <a:t>  &lt;script src="https://ajax.googleapis.com/ajax/libs/jquery/3.5.1/jquery.min.js"&gt;&lt;/script&gt;</a:t>
          </a:r>
        </a:p>
        <a:p>
          <a:r>
            <a:rPr lang="en-CA" sz="1100"/>
            <a:t>  &lt;script src="https://cdnjs.cloudflare.com/ajax/libs/popper.js/1.16.0/umd/popper.min.js"&gt;&lt;/script&gt;</a:t>
          </a:r>
        </a:p>
        <a:p>
          <a:r>
            <a:rPr lang="en-CA" sz="1100"/>
            <a:t>  &lt;script src="https://maxcdn.bootstrapcdn.com/bootstrap/4.5.2/js/bootstrap.min.js"&gt;&lt;/script&gt;</a:t>
          </a:r>
        </a:p>
        <a:p>
          <a:r>
            <a:rPr lang="en-CA" sz="1100"/>
            <a:t>    &lt;title&gt;Call Helper&lt;/title&gt;</a:t>
          </a:r>
        </a:p>
        <a:p>
          <a:r>
            <a:rPr lang="en-CA" sz="1100"/>
            <a:t>    &lt;!-- Bootstrap core CSS --&gt;</a:t>
          </a:r>
        </a:p>
        <a:p>
          <a:r>
            <a:rPr lang="en-CA" sz="1100"/>
            <a:t>    &lt;style&gt;</a:t>
          </a:r>
        </a:p>
        <a:p>
          <a:r>
            <a:rPr lang="en-CA" sz="1100"/>
            <a:t>	body {</a:t>
          </a:r>
        </a:p>
        <a:p>
          <a:r>
            <a:rPr lang="en-CA" sz="1100"/>
            <a:t>		padding: 3.5em;</a:t>
          </a:r>
        </a:p>
        <a:p>
          <a:r>
            <a:rPr lang="en-CA" sz="1100"/>
            <a:t>	}</a:t>
          </a:r>
        </a:p>
        <a:p>
          <a:endParaRPr lang="en-CA" sz="1100"/>
        </a:p>
        <a:p>
          <a:r>
            <a:rPr lang="en-CA" sz="1100"/>
            <a:t>	.phoneticBox {</a:t>
          </a:r>
        </a:p>
        <a:p>
          <a:r>
            <a:rPr lang="en-CA" sz="1100"/>
            <a:t>		display: -ms-flexbox;</a:t>
          </a:r>
        </a:p>
        <a:p>
          <a:r>
            <a:rPr lang="en-CA" sz="1100"/>
            <a:t>		display: -webkit-flex;</a:t>
          </a:r>
        </a:p>
        <a:p>
          <a:r>
            <a:rPr lang="en-CA" sz="1100"/>
            <a:t>		display: flex;</a:t>
          </a:r>
        </a:p>
        <a:p>
          <a:r>
            <a:rPr lang="en-CA" sz="1100"/>
            <a:t>		-webkit-flex-direction: row;</a:t>
          </a:r>
        </a:p>
        <a:p>
          <a:r>
            <a:rPr lang="en-CA" sz="1100"/>
            <a:t>		-ms-flex-direction: row;</a:t>
          </a:r>
        </a:p>
        <a:p>
          <a:r>
            <a:rPr lang="en-CA" sz="1100"/>
            <a:t>		flex-direction: row;</a:t>
          </a:r>
        </a:p>
        <a:p>
          <a:r>
            <a:rPr lang="en-CA" sz="1100"/>
            <a:t>		-webkit-flex-wrap: wrap;</a:t>
          </a:r>
        </a:p>
        <a:p>
          <a:r>
            <a:rPr lang="en-CA" sz="1100"/>
            <a:t>		-ms-flex-wrap: wrap;</a:t>
          </a:r>
        </a:p>
        <a:p>
          <a:r>
            <a:rPr lang="en-CA" sz="1100"/>
            <a:t>		flex-wrap: wrap;</a:t>
          </a:r>
        </a:p>
        <a:p>
          <a:r>
            <a:rPr lang="en-CA" sz="1100"/>
            <a:t>		-webkit-justify-content: center;</a:t>
          </a:r>
        </a:p>
        <a:p>
          <a:r>
            <a:rPr lang="en-CA" sz="1100"/>
            <a:t>		-ms-flex-pack: center;</a:t>
          </a:r>
        </a:p>
        <a:p>
          <a:r>
            <a:rPr lang="en-CA" sz="1100"/>
            <a:t>		justify-content: center;</a:t>
          </a:r>
        </a:p>
        <a:p>
          <a:r>
            <a:rPr lang="en-CA" sz="1100"/>
            <a:t>		-webkit-align-content: stretch;</a:t>
          </a:r>
        </a:p>
        <a:p>
          <a:r>
            <a:rPr lang="en-CA" sz="1100"/>
            <a:t>		-ms-flex-line-pack: stretch;</a:t>
          </a:r>
        </a:p>
        <a:p>
          <a:r>
            <a:rPr lang="en-CA" sz="1100"/>
            <a:t>		align-content: stretch;</a:t>
          </a:r>
        </a:p>
        <a:p>
          <a:r>
            <a:rPr lang="en-CA" sz="1100"/>
            <a:t>		-webkit-align-items: flex-start;</a:t>
          </a:r>
        </a:p>
        <a:p>
          <a:r>
            <a:rPr lang="en-CA" sz="1100"/>
            <a:t>		-ms-flex-align: start;</a:t>
          </a:r>
        </a:p>
        <a:p>
          <a:r>
            <a:rPr lang="en-CA" sz="1100"/>
            <a:t>		align-items: flex-start;</a:t>
          </a:r>
        </a:p>
        <a:p>
          <a:r>
            <a:rPr lang="en-CA" sz="1100"/>
            <a:t>		width: 100%;</a:t>
          </a:r>
        </a:p>
        <a:p>
          <a:r>
            <a:rPr lang="en-CA" sz="1100"/>
            <a:t>	}</a:t>
          </a:r>
        </a:p>
        <a:p>
          <a:endParaRPr lang="en-CA" sz="1100"/>
        </a:p>
        <a:p>
          <a:r>
            <a:rPr lang="en-CA" sz="1100"/>
            <a:t>	.phonetic {</a:t>
          </a:r>
        </a:p>
        <a:p>
          <a:r>
            <a:rPr lang="en-CA" sz="1100"/>
            <a:t>		-webkit-order: 0;</a:t>
          </a:r>
        </a:p>
        <a:p>
          <a:r>
            <a:rPr lang="en-CA" sz="1100"/>
            <a:t>		-ms-flex-order: 0;</a:t>
          </a:r>
        </a:p>
        <a:p>
          <a:r>
            <a:rPr lang="en-CA" sz="1100"/>
            <a:t>		order: 0;</a:t>
          </a:r>
        </a:p>
        <a:p>
          <a:r>
            <a:rPr lang="en-CA" sz="1100"/>
            <a:t>		-webkit-flex: 0 1 auto;</a:t>
          </a:r>
        </a:p>
        <a:p>
          <a:r>
            <a:rPr lang="en-CA" sz="1100"/>
            <a:t>		-ms-flex: 0 1 auto;</a:t>
          </a:r>
        </a:p>
        <a:p>
          <a:r>
            <a:rPr lang="en-CA" sz="1100"/>
            <a:t>		flex: 0 1 auto;</a:t>
          </a:r>
        </a:p>
        <a:p>
          <a:r>
            <a:rPr lang="en-CA" sz="1100"/>
            <a:t>		-webkit-align-self: center;</a:t>
          </a:r>
        </a:p>
        <a:p>
          <a:r>
            <a:rPr lang="en-CA" sz="1100"/>
            <a:t>		-ms-flex-item-align: center;</a:t>
          </a:r>
        </a:p>
        <a:p>
          <a:r>
            <a:rPr lang="en-CA" sz="1100"/>
            <a:t>		align-self: center;</a:t>
          </a:r>
        </a:p>
        <a:p>
          <a:r>
            <a:rPr lang="en-CA" sz="1100"/>
            <a:t>		vertical-align: middle;</a:t>
          </a:r>
        </a:p>
        <a:p>
          <a:r>
            <a:rPr lang="en-CA" sz="1100"/>
            <a:t>		text-align: center;</a:t>
          </a:r>
        </a:p>
        <a:p>
          <a:r>
            <a:rPr lang="en-CA" sz="1100"/>
            <a:t>		text-transform: uppercase;</a:t>
          </a:r>
        </a:p>
        <a:p>
          <a:r>
            <a:rPr lang="en-CA" sz="1100"/>
            <a:t>		padding-top: 10px;</a:t>
          </a:r>
        </a:p>
        <a:p>
          <a:r>
            <a:rPr lang="en-CA" sz="1100"/>
            <a:t>		font-size: 35px;</a:t>
          </a:r>
        </a:p>
        <a:p>
          <a:r>
            <a:rPr lang="en-CA" sz="1100"/>
            <a:t>		font-style: bold;</a:t>
          </a:r>
        </a:p>
        <a:p>
          <a:r>
            <a:rPr lang="en-CA" sz="1100"/>
            <a:t>		border-style: dashed;</a:t>
          </a:r>
        </a:p>
        <a:p>
          <a:r>
            <a:rPr lang="en-CA" sz="1100"/>
            <a:t>		border-color: black;</a:t>
          </a:r>
        </a:p>
        <a:p>
          <a:r>
            <a:rPr lang="en-CA" sz="1100"/>
            <a:t>		background-color: #8879ad;</a:t>
          </a:r>
        </a:p>
        <a:p>
          <a:r>
            <a:rPr lang="en-CA" sz="1100"/>
            <a:t>		color: #362e4a;</a:t>
          </a:r>
        </a:p>
        <a:p>
          <a:r>
            <a:rPr lang="en-CA" sz="1100"/>
            <a:t>		margin: 5px;</a:t>
          </a:r>
        </a:p>
        <a:p>
          <a:r>
            <a:rPr lang="en-CA" sz="1100"/>
            <a:t>		width: 160px;</a:t>
          </a:r>
        </a:p>
        <a:p>
          <a:r>
            <a:rPr lang="en-CA" sz="1100"/>
            <a:t>		height: 160px;</a:t>
          </a:r>
        </a:p>
        <a:p>
          <a:r>
            <a:rPr lang="en-CA" sz="1100"/>
            <a:t>	}</a:t>
          </a:r>
        </a:p>
        <a:p>
          <a:endParaRPr lang="en-CA" sz="1100"/>
        </a:p>
        <a:p>
          <a:r>
            <a:rPr lang="en-CA" sz="1100"/>
            <a:t>	.phonetic span {</a:t>
          </a:r>
        </a:p>
        <a:p>
          <a:r>
            <a:rPr lang="en-CA" sz="1100"/>
            <a:t>		display: block;</a:t>
          </a:r>
        </a:p>
        <a:p>
          <a:r>
            <a:rPr lang="en-CA" sz="1100"/>
            <a:t>		background: black;	</a:t>
          </a:r>
        </a:p>
        <a:p>
          <a:r>
            <a:rPr lang="en-CA" sz="1100"/>
            <a:t>		text-transform: lowercase;</a:t>
          </a:r>
        </a:p>
        <a:p>
          <a:r>
            <a:rPr lang="en-CA" sz="1100"/>
            <a:t>		font-size: 18px;</a:t>
          </a:r>
        </a:p>
        <a:p>
          <a:r>
            <a:rPr lang="en-CA" sz="1100"/>
            <a:t>		font-style: normal;</a:t>
          </a:r>
        </a:p>
        <a:p>
          <a:r>
            <a:rPr lang="en-CA" sz="1100"/>
            <a:t>		padding-bottom: 10px;</a:t>
          </a:r>
        </a:p>
        <a:p>
          <a:r>
            <a:rPr lang="en-CA" sz="1100"/>
            <a:t>		margin: 15px;</a:t>
          </a:r>
        </a:p>
        <a:p>
          <a:r>
            <a:rPr lang="en-CA" sz="1100"/>
            <a:t>		background: #8879ad;</a:t>
          </a:r>
        </a:p>
        <a:p>
          <a:r>
            <a:rPr lang="en-CA" sz="1100"/>
            <a:t>		color: white;</a:t>
          </a:r>
        </a:p>
        <a:p>
          <a:r>
            <a:rPr lang="en-CA" sz="1100"/>
            <a:t>	}</a:t>
          </a:r>
        </a:p>
        <a:p>
          <a:r>
            <a:rPr lang="en-CA" sz="1100"/>
            <a:t>	</a:t>
          </a:r>
        </a:p>
        <a:p>
          <a:r>
            <a:rPr lang="en-CA" sz="1100"/>
            <a:t>      .bd-placeholder-img {</a:t>
          </a:r>
        </a:p>
        <a:p>
          <a:r>
            <a:rPr lang="en-CA" sz="1100"/>
            <a:t>        font-size: 1.125rem;</a:t>
          </a:r>
        </a:p>
        <a:p>
          <a:r>
            <a:rPr lang="en-CA" sz="1100"/>
            <a:t>        text-anchor: middle;</a:t>
          </a:r>
        </a:p>
        <a:p>
          <a:r>
            <a:rPr lang="en-CA" sz="1100"/>
            <a:t>        -webkit-user-select: none;</a:t>
          </a:r>
        </a:p>
        <a:p>
          <a:r>
            <a:rPr lang="en-CA" sz="1100"/>
            <a:t>        -moz-user-select: none;</a:t>
          </a:r>
        </a:p>
        <a:p>
          <a:r>
            <a:rPr lang="en-CA" sz="1100"/>
            <a:t>        -ms-user-select: none;</a:t>
          </a:r>
        </a:p>
        <a:p>
          <a:r>
            <a:rPr lang="en-CA" sz="1100"/>
            <a:t>        user-select: none;</a:t>
          </a:r>
        </a:p>
        <a:p>
          <a:r>
            <a:rPr lang="en-CA" sz="1100"/>
            <a:t>      }</a:t>
          </a:r>
        </a:p>
        <a:p>
          <a:endParaRPr lang="en-CA" sz="1100"/>
        </a:p>
        <a:p>
          <a:r>
            <a:rPr lang="en-CA" sz="1100"/>
            <a:t>      @media (min-width: 768px) {</a:t>
          </a:r>
        </a:p>
        <a:p>
          <a:r>
            <a:rPr lang="en-CA" sz="1100"/>
            <a:t>        .bd-placeholder-img-lg {</a:t>
          </a:r>
        </a:p>
        <a:p>
          <a:r>
            <a:rPr lang="en-CA" sz="1100"/>
            <a:t>          font-size: 3.5rem;</a:t>
          </a:r>
        </a:p>
        <a:p>
          <a:r>
            <a:rPr lang="en-CA" sz="1100"/>
            <a:t>        }</a:t>
          </a:r>
        </a:p>
        <a:p>
          <a:r>
            <a:rPr lang="en-CA" sz="1100"/>
            <a:t>      }</a:t>
          </a:r>
        </a:p>
        <a:p>
          <a:r>
            <a:rPr lang="en-CA" sz="1100"/>
            <a:t>	  </a:t>
          </a:r>
        </a:p>
        <a:p>
          <a:r>
            <a:rPr lang="en-CA" sz="1100"/>
            <a:t>	  .lbl-marker {</a:t>
          </a:r>
        </a:p>
        <a:p>
          <a:r>
            <a:rPr lang="en-CA" sz="1100"/>
            <a:t>	    background-color: #8879ad;</a:t>
          </a:r>
        </a:p>
        <a:p>
          <a:r>
            <a:rPr lang="en-CA" sz="1100"/>
            <a:t>		color: white;</a:t>
          </a:r>
        </a:p>
        <a:p>
          <a:r>
            <a:rPr lang="en-CA" sz="1100"/>
            <a:t>		height: 40px;</a:t>
          </a:r>
        </a:p>
        <a:p>
          <a:r>
            <a:rPr lang="en-CA" sz="1100"/>
            <a:t>		width: 50px;</a:t>
          </a:r>
        </a:p>
        <a:p>
          <a:r>
            <a:rPr lang="en-CA" sz="1100"/>
            <a:t>		line-height: 40px;</a:t>
          </a:r>
        </a:p>
        <a:p>
          <a:r>
            <a:rPr lang="en-CA" sz="1100"/>
            <a:t>		text-align: center;</a:t>
          </a:r>
        </a:p>
        <a:p>
          <a:r>
            <a:rPr lang="en-CA" sz="1100"/>
            <a:t>		vertical-align: middle;</a:t>
          </a:r>
        </a:p>
        <a:p>
          <a:r>
            <a:rPr lang="en-CA" sz="1100"/>
            <a:t>		font-weight: bold;</a:t>
          </a:r>
        </a:p>
        <a:p>
          <a:r>
            <a:rPr lang="en-CA" sz="1100"/>
            <a:t>		text-transform: uppercase;</a:t>
          </a:r>
        </a:p>
        <a:p>
          <a:r>
            <a:rPr lang="en-CA" sz="1100"/>
            <a:t>	  }</a:t>
          </a:r>
        </a:p>
        <a:p>
          <a:r>
            <a:rPr lang="en-CA" sz="1100"/>
            <a:t>	  </a:t>
          </a:r>
        </a:p>
        <a:p>
          <a:r>
            <a:rPr lang="en-CA" sz="1100"/>
            <a:t>	  .lbl-marker-info {</a:t>
          </a:r>
        </a:p>
        <a:p>
          <a:r>
            <a:rPr lang="en-CA" sz="1100"/>
            <a:t>	    background-color: #8879ad;</a:t>
          </a:r>
        </a:p>
        <a:p>
          <a:r>
            <a:rPr lang="en-CA" sz="1100"/>
            <a:t>		color: white;</a:t>
          </a:r>
        </a:p>
        <a:p>
          <a:r>
            <a:rPr lang="en-CA" sz="1100"/>
            <a:t>		height: 40px;</a:t>
          </a:r>
        </a:p>
        <a:p>
          <a:r>
            <a:rPr lang="en-CA" sz="1100"/>
            <a:t>		width: 200px;</a:t>
          </a:r>
        </a:p>
        <a:p>
          <a:r>
            <a:rPr lang="en-CA" sz="1100"/>
            <a:t>		line-height: 40px;</a:t>
          </a:r>
        </a:p>
        <a:p>
          <a:r>
            <a:rPr lang="en-CA" sz="1100"/>
            <a:t>		text-align: center;</a:t>
          </a:r>
        </a:p>
        <a:p>
          <a:r>
            <a:rPr lang="en-CA" sz="1100"/>
            <a:t>		vertical-align: middle;</a:t>
          </a:r>
        </a:p>
        <a:p>
          <a:r>
            <a:rPr lang="en-CA" sz="1100"/>
            <a:t>		font-weight: bold;</a:t>
          </a:r>
        </a:p>
        <a:p>
          <a:r>
            <a:rPr lang="en-CA" sz="1100"/>
            <a:t>		text-transform: uppercase;</a:t>
          </a:r>
        </a:p>
        <a:p>
          <a:r>
            <a:rPr lang="en-CA" sz="1100"/>
            <a:t>	  }</a:t>
          </a:r>
        </a:p>
        <a:p>
          <a:r>
            <a:rPr lang="en-CA" sz="1100"/>
            <a:t>	  </a:t>
          </a:r>
        </a:p>
        <a:p>
          <a:r>
            <a:rPr lang="en-CA" sz="1100"/>
            <a:t>	 .lbl-marker-right {</a:t>
          </a:r>
        </a:p>
        <a:p>
          <a:r>
            <a:rPr lang="en-CA" sz="1100"/>
            <a:t>	    background-color: #8879ad;</a:t>
          </a:r>
        </a:p>
        <a:p>
          <a:r>
            <a:rPr lang="en-CA" sz="1100"/>
            <a:t>		color: white;</a:t>
          </a:r>
        </a:p>
        <a:p>
          <a:r>
            <a:rPr lang="en-CA" sz="1100"/>
            <a:t>		border-radius: 0px 30px 30px 0px;</a:t>
          </a:r>
        </a:p>
        <a:p>
          <a:r>
            <a:rPr lang="en-CA" sz="1100"/>
            <a:t>		height: 40px;</a:t>
          </a:r>
        </a:p>
        <a:p>
          <a:r>
            <a:rPr lang="en-CA" sz="1100"/>
            <a:t>		width: 30px;</a:t>
          </a:r>
        </a:p>
        <a:p>
          <a:r>
            <a:rPr lang="en-CA" sz="1100"/>
            <a:t>		line-height: 40px;</a:t>
          </a:r>
        </a:p>
        <a:p>
          <a:r>
            <a:rPr lang="en-CA" sz="1100"/>
            <a:t>		text-align: center;</a:t>
          </a:r>
        </a:p>
        <a:p>
          <a:r>
            <a:rPr lang="en-CA" sz="1100"/>
            <a:t>		vertical-align: middle;</a:t>
          </a:r>
        </a:p>
        <a:p>
          <a:r>
            <a:rPr lang="en-CA" sz="1100"/>
            <a:t>		font-weight: bold;</a:t>
          </a:r>
        </a:p>
        <a:p>
          <a:r>
            <a:rPr lang="en-CA" sz="1100"/>
            <a:t>		text-transform: uppercase;</a:t>
          </a:r>
        </a:p>
        <a:p>
          <a:r>
            <a:rPr lang="en-CA" sz="1100"/>
            <a:t>	  }</a:t>
          </a:r>
        </a:p>
        <a:p>
          <a:r>
            <a:rPr lang="en-CA" sz="1100"/>
            <a:t>	  </a:t>
          </a:r>
        </a:p>
        <a:p>
          <a:r>
            <a:rPr lang="en-CA" sz="1100"/>
            <a:t>	  .lbl-marker-title {</a:t>
          </a:r>
        </a:p>
        <a:p>
          <a:r>
            <a:rPr lang="en-CA" sz="1100"/>
            <a:t>	    background-color: #362e4a;</a:t>
          </a:r>
        </a:p>
        <a:p>
          <a:r>
            <a:rPr lang="en-CA" sz="1100"/>
            <a:t>		color: white;</a:t>
          </a:r>
        </a:p>
        <a:p>
          <a:r>
            <a:rPr lang="en-CA" sz="1100"/>
            <a:t>		border-radius: 30px 0px 0px 30px;</a:t>
          </a:r>
        </a:p>
        <a:p>
          <a:r>
            <a:rPr lang="en-CA" sz="1100"/>
            <a:t>		height: 30px;</a:t>
          </a:r>
        </a:p>
        <a:p>
          <a:r>
            <a:rPr lang="en-CA" sz="1100"/>
            <a:t>		text-align: center;</a:t>
          </a:r>
        </a:p>
        <a:p>
          <a:r>
            <a:rPr lang="en-CA" sz="1100"/>
            <a:t>		font-weight: bold;</a:t>
          </a:r>
        </a:p>
        <a:p>
          <a:r>
            <a:rPr lang="en-CA" sz="1100"/>
            <a:t>		text-transform: uppercase;</a:t>
          </a:r>
        </a:p>
        <a:p>
          <a:r>
            <a:rPr lang="en-CA" sz="1100"/>
            <a:t>		padding: 3px;</a:t>
          </a:r>
        </a:p>
        <a:p>
          <a:r>
            <a:rPr lang="en-CA" sz="1100"/>
            <a:t>		top: 5px;</a:t>
          </a:r>
        </a:p>
        <a:p>
          <a:r>
            <a:rPr lang="en-CA" sz="1100"/>
            <a:t>		width: 300px;</a:t>
          </a:r>
        </a:p>
        <a:p>
          <a:r>
            <a:rPr lang="en-CA" sz="1100"/>
            <a:t>		margin: 0px;</a:t>
          </a:r>
        </a:p>
        <a:p>
          <a:r>
            <a:rPr lang="en-CA" sz="1100"/>
            <a:t>	  }	  </a:t>
          </a:r>
        </a:p>
        <a:p>
          <a:r>
            <a:rPr lang="en-CA" sz="1100"/>
            <a:t>	  </a:t>
          </a:r>
        </a:p>
        <a:p>
          <a:r>
            <a:rPr lang="en-CA" sz="1100"/>
            <a:t>	  .lbl-marker-title-info {</a:t>
          </a:r>
        </a:p>
        <a:p>
          <a:r>
            <a:rPr lang="en-CA" sz="1100"/>
            <a:t>	    background-color: #362e4a;</a:t>
          </a:r>
        </a:p>
        <a:p>
          <a:r>
            <a:rPr lang="en-CA" sz="1100"/>
            <a:t>		color: white;</a:t>
          </a:r>
        </a:p>
        <a:p>
          <a:r>
            <a:rPr lang="en-CA" sz="1100"/>
            <a:t>		border-radius: 30px 0px 0px 30px;</a:t>
          </a:r>
        </a:p>
        <a:p>
          <a:r>
            <a:rPr lang="en-CA" sz="1100"/>
            <a:t>		height: 30px;</a:t>
          </a:r>
        </a:p>
        <a:p>
          <a:r>
            <a:rPr lang="en-CA" sz="1100"/>
            <a:t>		text-align: center;</a:t>
          </a:r>
        </a:p>
        <a:p>
          <a:r>
            <a:rPr lang="en-CA" sz="1100"/>
            <a:t>		font-weight: bold;</a:t>
          </a:r>
        </a:p>
        <a:p>
          <a:r>
            <a:rPr lang="en-CA" sz="1100"/>
            <a:t>		text-transform: uppercase;</a:t>
          </a:r>
        </a:p>
        <a:p>
          <a:r>
            <a:rPr lang="en-CA" sz="1100"/>
            <a:t>		padding: 3px;</a:t>
          </a:r>
        </a:p>
        <a:p>
          <a:r>
            <a:rPr lang="en-CA" sz="1100"/>
            <a:t>		top: 5px;</a:t>
          </a:r>
        </a:p>
        <a:p>
          <a:r>
            <a:rPr lang="en-CA" sz="1100"/>
            <a:t>		width: 200px;</a:t>
          </a:r>
        </a:p>
        <a:p>
          <a:r>
            <a:rPr lang="en-CA" sz="1100"/>
            <a:t>		margin: 0px;</a:t>
          </a:r>
        </a:p>
        <a:p>
          <a:r>
            <a:rPr lang="en-CA" sz="1100"/>
            <a:t>	  }</a:t>
          </a:r>
        </a:p>
        <a:p>
          <a:r>
            <a:rPr lang="en-CA" sz="1100"/>
            <a:t>    &lt;/style&gt;</a:t>
          </a:r>
        </a:p>
        <a:p>
          <a:r>
            <a:rPr lang="en-CA" sz="1100"/>
            <a:t>    &lt;!-- Custom styles for this template --&gt;</a:t>
          </a:r>
        </a:p>
        <a:p>
          <a:r>
            <a:rPr lang="en-CA" sz="1100"/>
            <a:t>	&lt;script src="https://cdnjs.cloudflare.com/ajax/libs/jquery/3.5.1/jquery.js" integrity="sha512-WNLxfP/8cVYL9sj8Jnp6et0BkubLP31jhTG9vhL/F5uEZmg5wEzKoXp1kJslzPQWwPT1eyMiSxlKCgzHLOTOTQ==" crossorigin="anonymous"&gt;&lt;/script&gt;</a:t>
          </a:r>
        </a:p>
        <a:p>
          <a:r>
            <a:rPr lang="en-CA" sz="1100"/>
            <a:t>	&lt;script&gt;</a:t>
          </a:r>
        </a:p>
        <a:p>
          <a:r>
            <a:rPr lang="en-CA" sz="1100"/>
            <a:t>		var InfoCollection = {{INFOCOLLECTION}};</a:t>
          </a:r>
        </a:p>
        <a:p>
          <a:r>
            <a:rPr lang="en-CA" sz="1100"/>
            <a:t>		var CredentialCollection = {{CREDENTIALCOLLECTION}};</a:t>
          </a:r>
        </a:p>
        <a:p>
          <a:r>
            <a:rPr lang="en-CA" sz="1100"/>
            <a:t>		var DropdownMenus = {{DROPDOWNMENUS}};</a:t>
          </a:r>
        </a:p>
        <a:p>
          <a:r>
            <a:rPr lang="en-CA" sz="1100"/>
            <a:t>		var </a:t>
          </a:r>
          <a:r>
            <a:rPr lang="en-CA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ContentCollection = {{PAGECONTENT}};</a:t>
          </a:r>
          <a:endParaRPr lang="en-CA" sz="1100"/>
        </a:p>
        <a:p>
          <a:r>
            <a:rPr lang="en-CA" sz="1100"/>
            <a:t>	&lt;/script&gt;</a:t>
          </a:r>
        </a:p>
        <a:p>
          <a:r>
            <a:rPr lang="en-CA" sz="1100"/>
            <a:t>  &lt;/head&gt;</a:t>
          </a:r>
        </a:p>
        <a:p>
          <a:r>
            <a:rPr lang="en-CA" sz="1100"/>
            <a:t>  &lt;body&gt;</a:t>
          </a:r>
        </a:p>
        <a:p>
          <a:r>
            <a:rPr lang="en-CA" sz="1100"/>
            <a:t>    &lt;nav class="navbar navbar-expand-md navbar-dark fixed-top bg-dark"&gt;</a:t>
          </a:r>
        </a:p>
        <a:p>
          <a:r>
            <a:rPr lang="en-CA" sz="1100"/>
            <a:t>	&lt;ul class="navbar-nav mr-auto"&gt;</a:t>
          </a:r>
        </a:p>
        <a:p>
          <a:r>
            <a:rPr lang="en-CA" sz="1100"/>
            <a:t>		&lt;li class="nav-item dropdown"&gt;</a:t>
          </a:r>
        </a:p>
        <a:p>
          <a:r>
            <a:rPr lang="en-CA" sz="1100"/>
            <a:t>			&lt;a class="navbar-brand" href="#" id="ddAgentEssentials" data-toggle="dropdown" aria-haspopup="true" aria-expanded="false"&gt;{{AGENTNAME}}&lt;/script&gt;&lt;/a&gt;</a:t>
          </a:r>
        </a:p>
        <a:p>
          <a:r>
            <a:rPr lang="en-CA" sz="1100"/>
            <a:t>			&lt;div class="dropdown-menu" aria-labelledby="ddAgentEssentials"&gt;</a:t>
          </a:r>
        </a:p>
        <a:p>
          <a:r>
            <a:rPr lang="en-CA" sz="1100"/>
            <a:t>			  &lt;script&gt;</a:t>
          </a:r>
        </a:p>
        <a:p>
          <a:r>
            <a:rPr lang="en-CA" sz="1100"/>
            <a:t>				for (var i=0; i&lt;InfoCollection.length; i++)</a:t>
          </a:r>
        </a:p>
        <a:p>
          <a:r>
            <a:rPr lang="en-CA" sz="1100"/>
            <a:t>				{</a:t>
          </a:r>
        </a:p>
        <a:p>
          <a:r>
            <a:rPr lang="en-CA" sz="1100"/>
            <a:t>				   var il = new InfoLink(InfoCollection[i][0],InfoCollection[i][1],InfoCollection[i][2]);</a:t>
          </a:r>
        </a:p>
        <a:p>
          <a:r>
            <a:rPr lang="en-CA" sz="1100"/>
            <a:t>				   var link = document.write(`&lt;a class="dropdown-item" href="#"&gt;` + il.get() + `&lt;/a&gt;`);</a:t>
          </a:r>
        </a:p>
        <a:p>
          <a:r>
            <a:rPr lang="en-CA" sz="1100"/>
            <a:t>				}</a:t>
          </a:r>
        </a:p>
        <a:p>
          <a:r>
            <a:rPr lang="en-CA" sz="1100"/>
            <a:t>			  &lt;/script&gt;</a:t>
          </a:r>
        </a:p>
        <a:p>
          <a:r>
            <a:rPr lang="en-CA" sz="1100"/>
            <a:t>			&lt;/div&gt;</a:t>
          </a:r>
        </a:p>
        <a:p>
          <a:r>
            <a:rPr lang="en-CA" sz="1100"/>
            <a:t>		&lt;/li&gt;</a:t>
          </a:r>
        </a:p>
        <a:p>
          <a:r>
            <a:rPr lang="en-CA" sz="1100"/>
            <a:t>	&lt;/ul&gt;</a:t>
          </a:r>
        </a:p>
        <a:p>
          <a:r>
            <a:rPr lang="en-CA" sz="1100"/>
            <a:t>  &lt;button class="navbar-toggler" type="button" data-toggle="collapse" data-target="#navbarsExampleDefault" aria-controls="navbarsExampleDefault" aria-expanded="false" aria-label="Toggle navigation"&gt;</a:t>
          </a:r>
        </a:p>
        <a:p>
          <a:r>
            <a:rPr lang="en-CA" sz="1100"/>
            <a:t>    &lt;span class="navbar-toggler-icon"&gt;&lt;/span&gt;</a:t>
          </a:r>
        </a:p>
        <a:p>
          <a:r>
            <a:rPr lang="en-CA" sz="1100"/>
            <a:t>  &lt;/button&gt;</a:t>
          </a:r>
        </a:p>
        <a:p>
          <a:endParaRPr lang="en-CA" sz="1100"/>
        </a:p>
        <a:p>
          <a:r>
            <a:rPr lang="en-CA" sz="1100"/>
            <a:t>  &lt;div class="collapse navbar-collapse" id="navbarsExampleDefault"&gt;</a:t>
          </a:r>
        </a:p>
        <a:p>
          <a:r>
            <a:rPr lang="en-CA" sz="1100"/>
            <a:t>    &lt;ul class="navbar-nav mr-auto"&gt;</a:t>
          </a:r>
        </a:p>
        <a:p>
          <a:r>
            <a:rPr lang="en-CA" sz="1100"/>
            <a:t>	  &lt;script&gt;</a:t>
          </a:r>
        </a:p>
        <a:p>
          <a:r>
            <a:rPr lang="en-CA" sz="1100"/>
            <a:t>		for(var i=0; i&lt;DropdownMenus.length; i++)</a:t>
          </a:r>
        </a:p>
        <a:p>
          <a:r>
            <a:rPr lang="en-CA" sz="1100"/>
            <a:t>		{</a:t>
          </a:r>
        </a:p>
        <a:p>
          <a:r>
            <a:rPr lang="en-CA" sz="1100"/>
            <a:t>			//now iterate through each dropdown menu</a:t>
          </a:r>
        </a:p>
        <a:p>
          <a:r>
            <a:rPr lang="en-CA" sz="1100"/>
            <a:t>			document.write("&lt;li class='nav-item dropdown'&gt;&lt;a class='nav-link dropdown-toggle' href='#' id='" + DropdownMenus[i][0] + "' data-toggle='dropdown' aria-haspopup='true' aria-expanded='false'&gt;"+ DropdownMenus[i][1] + "&lt;/a&gt;");</a:t>
          </a:r>
        </a:p>
        <a:p>
          <a:r>
            <a:rPr lang="en-CA" sz="1100"/>
            <a:t>			</a:t>
          </a:r>
        </a:p>
        <a:p>
          <a:r>
            <a:rPr lang="en-CA" sz="1100"/>
            <a:t>			//write div that contains all links</a:t>
          </a:r>
        </a:p>
        <a:p>
          <a:r>
            <a:rPr lang="en-CA" sz="1100"/>
            <a:t>			document.write("&lt;div class='dropdown-menu' aria-labelledby='" + DropdownMenus[i][0] + "'&gt;");</a:t>
          </a:r>
        </a:p>
        <a:p>
          <a:r>
            <a:rPr lang="en-CA" sz="1100"/>
            <a:t>			</a:t>
          </a:r>
        </a:p>
        <a:p>
          <a:r>
            <a:rPr lang="en-CA" sz="1100"/>
            <a:t>			//write all links that belong to this dropdown</a:t>
          </a:r>
        </a:p>
        <a:p>
          <a:r>
            <a:rPr lang="en-CA" sz="1100"/>
            <a:t>			for (var j=0; j&lt;CredentialCollection.length; j++)</a:t>
          </a:r>
        </a:p>
        <a:p>
          <a:r>
            <a:rPr lang="en-CA" sz="1100"/>
            <a:t>			{</a:t>
          </a:r>
        </a:p>
        <a:p>
          <a:r>
            <a:rPr lang="en-CA" sz="1100"/>
            <a:t>				if(DropdownMenus[i][2].includes(CredentialCollection[j][0]))</a:t>
          </a:r>
        </a:p>
        <a:p>
          <a:r>
            <a:rPr lang="en-CA" sz="1100"/>
            <a:t>				{</a:t>
          </a:r>
        </a:p>
        <a:p>
          <a:r>
            <a:rPr lang="en-CA" sz="1100"/>
            <a:t>					var acr = new AccessCredential(CredentialCollection[j][1],CredentialCollection[j][2],CredentialCollection[j][3],CredentialCollection[j][4],CredentialCollection[j][5]);</a:t>
          </a:r>
        </a:p>
        <a:p>
          <a:r>
            <a:rPr lang="en-CA" sz="1100"/>
            <a:t>					document.write('&lt;a class="dropdown-item" href="#"&gt;' + acr.get() + '&lt;/a&gt;');</a:t>
          </a:r>
        </a:p>
        <a:p>
          <a:r>
            <a:rPr lang="en-CA" sz="1100"/>
            <a:t>				}</a:t>
          </a:r>
        </a:p>
        <a:p>
          <a:r>
            <a:rPr lang="en-CA" sz="1100"/>
            <a:t>			}</a:t>
          </a:r>
        </a:p>
        <a:p>
          <a:r>
            <a:rPr lang="en-CA" sz="1100"/>
            <a:t>			</a:t>
          </a:r>
        </a:p>
        <a:p>
          <a:r>
            <a:rPr lang="en-CA" sz="1100"/>
            <a:t>			document.write("&lt;/div&gt;");	</a:t>
          </a:r>
        </a:p>
        <a:p>
          <a:r>
            <a:rPr lang="en-CA" sz="1100"/>
            <a:t>			document.write("&lt;/li&gt;");</a:t>
          </a:r>
        </a:p>
        <a:p>
          <a:r>
            <a:rPr lang="en-CA" sz="1100"/>
            <a:t>		}</a:t>
          </a:r>
        </a:p>
        <a:p>
          <a:r>
            <a:rPr lang="en-CA" sz="1100"/>
            <a:t>	  </a:t>
          </a:r>
        </a:p>
        <a:p>
          <a:r>
            <a:rPr lang="en-CA" sz="1100"/>
            <a:t>	  &lt;/script&gt;</a:t>
          </a:r>
        </a:p>
        <a:p>
          <a:r>
            <a:rPr lang="en-CA" sz="1100"/>
            <a:t>    &lt;/ul&gt;</a:t>
          </a:r>
        </a:p>
        <a:p>
          <a:r>
            <a:rPr lang="en-CA" sz="1100"/>
            <a:t>    &lt;form class="form-inline my-2 my-lg-0" action="?#"&gt;</a:t>
          </a:r>
        </a:p>
        <a:p>
          <a:r>
            <a:rPr lang="en-CA" sz="1100"/>
            <a:t>      &lt;input id="spellMe" class="form-control mr-sm-2" type="text" autocomplete="off" placeholder="Spell it out..." aria-label="Spell out the word..."&gt;</a:t>
          </a:r>
        </a:p>
        <a:p>
          <a:r>
            <a:rPr lang="en-CA" sz="1100"/>
            <a:t>      &lt;button class="btn btn-outline-success my-2 my-sm-0" onclick="var speller = new Speller('spellMe','phoneticBox'); speller.spellPhonetically();"&gt;Spell it&lt;/button&gt;</a:t>
          </a:r>
        </a:p>
        <a:p>
          <a:r>
            <a:rPr lang="en-CA" sz="1100"/>
            <a:t>    &lt;/form&gt;</a:t>
          </a:r>
        </a:p>
        <a:p>
          <a:r>
            <a:rPr lang="en-CA" sz="1100"/>
            <a:t>  &lt;/div&gt;</a:t>
          </a:r>
        </a:p>
        <a:p>
          <a:r>
            <a:rPr lang="en-CA" sz="1100"/>
            <a:t>&lt;/nav&gt;</a:t>
          </a:r>
        </a:p>
        <a:p>
          <a:endParaRPr lang="en-CA" sz="1100"/>
        </a:p>
        <a:p>
          <a:r>
            <a:rPr lang="en-CA" sz="1100"/>
            <a:t>&lt;main role="main"&gt;</a:t>
          </a:r>
        </a:p>
        <a:p>
          <a:endParaRPr lang="en-CA" sz="1100"/>
        </a:p>
        <a:p>
          <a:r>
            <a:rPr lang="en-CA" sz="1100"/>
            <a:t>  &lt;!-- Main jumbotron for a primary marketing message or call to action --&gt;</a:t>
          </a:r>
        </a:p>
        <a:p>
          <a:r>
            <a:rPr lang="en-CA" sz="1100"/>
            <a:t>  &lt;div id="jumbotron" class="jumbotron" style="display:none;"&gt;</a:t>
          </a:r>
        </a:p>
        <a:p>
          <a:r>
            <a:rPr lang="en-CA" sz="1100"/>
            <a:t>      &lt;center&gt;&lt;h1 class="display-3"&gt;Let me spell that for you...&lt;/h1&gt;&lt;/center&gt;</a:t>
          </a:r>
        </a:p>
        <a:p>
          <a:r>
            <a:rPr lang="en-CA" sz="1100"/>
            <a:t>      &lt;div class="phoneticBox" id="phoneticBox"&gt;&lt;/div&gt;</a:t>
          </a:r>
        </a:p>
        <a:p>
          <a:r>
            <a:rPr lang="en-CA" sz="1100"/>
            <a:t>  &lt;/div&gt;</a:t>
          </a:r>
        </a:p>
        <a:p>
          <a:r>
            <a:rPr lang="en-CA" sz="1100"/>
            <a:t> &lt;br/&gt; &lt;br/&gt;</a:t>
          </a:r>
        </a:p>
        <a:p>
          <a:r>
            <a:rPr lang="en-CA" sz="1100"/>
            <a:t>  &lt;div class="container"&gt;</a:t>
          </a:r>
        </a:p>
        <a:p>
          <a:endParaRPr lang="en-CA" sz="1100"/>
        </a:p>
        <a:p>
          <a:r>
            <a:rPr lang="en-CA" sz="1100"/>
            <a:t>    &lt;!-- Example row of columns --&gt;</a:t>
          </a:r>
        </a:p>
        <a:p>
          <a:r>
            <a:rPr lang="en-CA" sz="1100"/>
            <a:t>    &lt;div class="row"&gt;</a:t>
          </a:r>
        </a:p>
        <a:p>
          <a:endParaRPr lang="en-CA" sz="1100"/>
        </a:p>
        <a:p>
          <a:r>
            <a:rPr lang="en-CA" sz="1100"/>
            <a:t>&lt;script&gt;</a:t>
          </a:r>
        </a:p>
        <a:p>
          <a:endParaRPr lang="en-CA" sz="1100"/>
        </a:p>
        <a:p>
          <a:r>
            <a:rPr lang="en-CA" sz="1100"/>
            <a:t> for (var</a:t>
          </a:r>
          <a:r>
            <a:rPr lang="en-CA" sz="1100" baseline="0"/>
            <a:t> i=0; i&lt;</a:t>
          </a:r>
          <a:r>
            <a:rPr lang="en-CA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ContentCollection</a:t>
          </a:r>
          <a:r>
            <a:rPr lang="en-CA" sz="1100" baseline="0"/>
            <a:t>.length; i++)</a:t>
          </a:r>
        </a:p>
        <a:p>
          <a:r>
            <a:rPr lang="en-CA" sz="1100" baseline="0"/>
            <a:t>{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aseline="0"/>
            <a:t>    var pc = new ContentBox(</a:t>
          </a:r>
          <a:r>
            <a:rPr lang="en-CA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ContentCollection</a:t>
          </a:r>
          <a:r>
            <a:rPr lang="en-CA" sz="1100" baseline="0"/>
            <a:t>[i][0], </a:t>
          </a:r>
          <a:r>
            <a:rPr lang="en-CA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ContentCollection[i][1],</a:t>
          </a:r>
          <a:r>
            <a:rPr lang="en-GB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CA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ContentCollection[i][2]);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document.write(pc.get());</a:t>
          </a:r>
          <a:endParaRPr lang="en-CA" sz="1100" baseline="0"/>
        </a:p>
        <a:p>
          <a:r>
            <a:rPr lang="en-CA" sz="1100" baseline="0"/>
            <a:t>}</a:t>
          </a:r>
          <a:endParaRPr lang="en-CA" sz="1100"/>
        </a:p>
        <a:p>
          <a:endParaRPr lang="en-CA" sz="1100"/>
        </a:p>
        <a:p>
          <a:r>
            <a:rPr lang="en-CA" sz="1100"/>
            <a:t>&lt;/script&gt;</a:t>
          </a:r>
        </a:p>
        <a:p>
          <a:endParaRPr lang="en-CA" sz="1100"/>
        </a:p>
        <a:p>
          <a:r>
            <a:rPr lang="en-CA" sz="1100"/>
            <a:t>    &lt;/div&gt;</a:t>
          </a:r>
        </a:p>
        <a:p>
          <a:endParaRPr lang="en-CA" sz="1100"/>
        </a:p>
        <a:p>
          <a:endParaRPr lang="en-CA" sz="1100"/>
        </a:p>
        <a:p>
          <a:r>
            <a:rPr lang="en-CA" sz="1100"/>
            <a:t>    &lt;hr&gt;</a:t>
          </a:r>
        </a:p>
        <a:p>
          <a:endParaRPr lang="en-CA" sz="1100"/>
        </a:p>
        <a:p>
          <a:r>
            <a:rPr lang="en-CA" sz="1100"/>
            <a:t>  &lt;/div&gt; &lt;!-- /container --&gt;</a:t>
          </a:r>
        </a:p>
        <a:p>
          <a:endParaRPr lang="en-CA" sz="1100"/>
        </a:p>
        <a:p>
          <a:r>
            <a:rPr lang="en-CA" sz="1100"/>
            <a:t>&lt;/main&gt;</a:t>
          </a:r>
        </a:p>
        <a:p>
          <a:endParaRPr lang="en-CA" sz="1100"/>
        </a:p>
        <a:p>
          <a:r>
            <a:rPr lang="en-CA" sz="1100"/>
            <a:t>&lt;footer class="container"&gt;</a:t>
          </a:r>
        </a:p>
        <a:p>
          <a:r>
            <a:rPr lang="en-CA" sz="1100"/>
            <a:t>  &lt;p&gt;&lt;script&gt;const copyright = new Copyright("Bojan Gluvacevic"); document.write(copyright.print());&lt;/script&gt;&lt;/p&gt;</a:t>
          </a:r>
        </a:p>
        <a:p>
          <a:r>
            <a:rPr lang="en-CA" sz="1100"/>
            <a:t>&lt;/footer&gt;</a:t>
          </a:r>
        </a:p>
        <a:p>
          <a:r>
            <a:rPr lang="en-CA" sz="1100"/>
            <a:t>&lt;script&gt;$(window).on('load', function() { window.location.href = '?#'; });&lt;/script&gt;	  </a:t>
          </a:r>
        </a:p>
        <a:p>
          <a:r>
            <a:rPr lang="en-CA" sz="1100"/>
            <a:t> &lt;/body&gt;</a:t>
          </a:r>
        </a:p>
        <a:p>
          <a:r>
            <a:rPr lang="en-CA" sz="1100"/>
            <a:t>&lt;/html&gt;</a:t>
          </a:r>
        </a:p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F105"/>
  <sheetViews>
    <sheetView zoomScale="85" zoomScaleNormal="85" workbookViewId="0">
      <selection activeCell="F8" sqref="F8"/>
    </sheetView>
  </sheetViews>
  <sheetFormatPr defaultColWidth="9.1796875" defaultRowHeight="14.5"/>
  <cols>
    <col min="1" max="1" width="10.26953125" style="3" customWidth="1"/>
    <col min="2" max="2" width="35.54296875" style="3" customWidth="1"/>
    <col min="3" max="3" width="47.26953125" style="3" customWidth="1"/>
    <col min="4" max="4" width="33" style="3" customWidth="1"/>
    <col min="5" max="5" width="59" style="35" customWidth="1"/>
    <col min="6" max="6" width="70" style="3" customWidth="1"/>
    <col min="7" max="16" width="9.1796875" style="33" hidden="1" customWidth="1"/>
    <col min="17" max="17" width="17.54296875" style="33" hidden="1" customWidth="1"/>
    <col min="18" max="18" width="17.26953125" style="33" hidden="1" customWidth="1"/>
    <col min="19" max="19" width="13.453125" style="33" hidden="1" customWidth="1"/>
    <col min="20" max="20" width="37.1796875" style="33" hidden="1" customWidth="1"/>
    <col min="21" max="58" width="9.1796875" style="33" hidden="1" customWidth="1"/>
    <col min="59" max="59" width="124" style="3" customWidth="1"/>
    <col min="60" max="16384" width="9.1796875" style="3"/>
  </cols>
  <sheetData>
    <row r="2" spans="1:26" ht="15" thickBot="1">
      <c r="A2" s="1" t="s">
        <v>0</v>
      </c>
      <c r="B2" s="1" t="s">
        <v>1</v>
      </c>
      <c r="C2" s="1" t="s">
        <v>2</v>
      </c>
      <c r="D2" s="1" t="s">
        <v>3</v>
      </c>
      <c r="E2" s="34" t="s">
        <v>4</v>
      </c>
      <c r="F2" s="2" t="s">
        <v>5</v>
      </c>
    </row>
    <row r="3" spans="1:26">
      <c r="A3" s="3" t="s">
        <v>12</v>
      </c>
      <c r="B3" s="3" t="s">
        <v>257</v>
      </c>
      <c r="C3" s="3" t="s">
        <v>7</v>
      </c>
      <c r="D3" s="3" t="s">
        <v>252</v>
      </c>
      <c r="E3" s="35" t="s">
        <v>256</v>
      </c>
      <c r="F3" s="3" t="s">
        <v>258</v>
      </c>
      <c r="P3" s="33" t="str">
        <f>IF(LEN(A3)=0, "null", CONCATENATE("`", A3, "`"))</f>
        <v>`CM-001`</v>
      </c>
      <c r="Q3" s="33" t="str">
        <f>IF(LEN(B3)=0, "null", CONCATENATE("`", B3, "`"))</f>
        <v>`Demo - All`</v>
      </c>
      <c r="R3" s="33" t="str">
        <f>IF(LEN(C3)=0, "null", CONCATENATE("`", C3, "`"))</f>
        <v>`bojan.gluvacevic`</v>
      </c>
      <c r="S3" s="33" t="str">
        <f>IF(LEN(D3)=0, "null", CONCATENATE("`", D3, "`"))</f>
        <v>`testPassword`</v>
      </c>
      <c r="T3" s="33" t="str">
        <f>IF(LEN(E3)=0, "null", CONCATENATE(CHAR(34), E3, CHAR(34)))</f>
        <v>"http://localhost/"</v>
      </c>
      <c r="U3" s="33" t="str">
        <f>IF(LEN(F3)=0, "null", CONCATENATE("`", F3, "`"))</f>
        <v>`Demo description`</v>
      </c>
      <c r="Z3" s="33" t="str">
        <f t="shared" ref="Z3:Z8" si="0">IF(LEN(B3)&gt;0,CONCATENATE("[",P3,", ",Q3,", ",R3,", ",S3,", ",T3,", ",U3,"]"), "")</f>
        <v>[`CM-001`, `Demo - All`, `bojan.gluvacevic`, `testPassword`, "http://localhost/", `Demo description`]</v>
      </c>
    </row>
    <row r="4" spans="1:26">
      <c r="A4" s="3" t="s">
        <v>13</v>
      </c>
      <c r="B4" s="3" t="s">
        <v>259</v>
      </c>
      <c r="C4" s="3" t="s">
        <v>7</v>
      </c>
      <c r="D4" s="3" t="s">
        <v>252</v>
      </c>
      <c r="E4" s="35" t="s">
        <v>255</v>
      </c>
      <c r="P4" s="33" t="str">
        <f t="shared" ref="P4:P67" si="1">IF(LEN(A4)=0, "null", CONCATENATE("`", A4, "`"))</f>
        <v>`CM-002`</v>
      </c>
      <c r="Q4" s="33" t="str">
        <f t="shared" ref="Q4:Q67" si="2">IF(LEN(B4)=0, "null", CONCATENATE("`", B4, "`"))</f>
        <v>`Demo - Usr, Pwd, Lnk`</v>
      </c>
      <c r="R4" s="33" t="str">
        <f t="shared" ref="R4:R67" si="3">IF(LEN(C4)=0, "null", CONCATENATE("`", C4, "`"))</f>
        <v>`bojan.gluvacevic`</v>
      </c>
      <c r="S4" s="33" t="str">
        <f t="shared" ref="S4:S67" si="4">IF(LEN(D4)=0, "null", CONCATENATE("`", D4, "`"))</f>
        <v>`testPassword`</v>
      </c>
      <c r="T4" s="33" t="str">
        <f t="shared" ref="T4:T67" si="5">IF(LEN(E4)=0, "null", CONCATENATE(CHAR(34), E4, CHAR(34)))</f>
        <v>"http://127.0.0.1"</v>
      </c>
      <c r="U4" s="33" t="str">
        <f t="shared" ref="U4:U67" si="6">IF(LEN(F4)=0, "null", CONCATENATE("`", F4, "`"))</f>
        <v>null</v>
      </c>
      <c r="Z4" s="33" t="str">
        <f t="shared" si="0"/>
        <v>[`CM-002`, `Demo - Usr, Pwd, Lnk`, `bojan.gluvacevic`, `testPassword`, "http://127.0.0.1", null]</v>
      </c>
    </row>
    <row r="5" spans="1:26">
      <c r="A5" s="3" t="s">
        <v>14</v>
      </c>
      <c r="B5" s="3" t="s">
        <v>260</v>
      </c>
      <c r="C5" s="3" t="s">
        <v>7</v>
      </c>
      <c r="D5" s="3" t="s">
        <v>252</v>
      </c>
      <c r="E5" s="59"/>
      <c r="P5" s="33" t="str">
        <f t="shared" si="1"/>
        <v>`CM-003`</v>
      </c>
      <c r="Q5" s="33" t="str">
        <f t="shared" si="2"/>
        <v>`Demo - Usr, Pwd`</v>
      </c>
      <c r="R5" s="33" t="str">
        <f t="shared" si="3"/>
        <v>`bojan.gluvacevic`</v>
      </c>
      <c r="S5" s="33" t="str">
        <f t="shared" si="4"/>
        <v>`testPassword`</v>
      </c>
      <c r="T5" s="33" t="str">
        <f t="shared" si="5"/>
        <v>null</v>
      </c>
      <c r="U5" s="33" t="str">
        <f t="shared" si="6"/>
        <v>null</v>
      </c>
      <c r="Z5" s="33" t="str">
        <f t="shared" si="0"/>
        <v>[`CM-003`, `Demo - Usr, Pwd`, `bojan.gluvacevic`, `testPassword`, null, null]</v>
      </c>
    </row>
    <row r="6" spans="1:26">
      <c r="A6" s="3" t="s">
        <v>15</v>
      </c>
      <c r="B6" s="3" t="s">
        <v>261</v>
      </c>
      <c r="C6" s="3" t="s">
        <v>7</v>
      </c>
      <c r="E6" s="59"/>
      <c r="P6" s="33" t="str">
        <f t="shared" si="1"/>
        <v>`CM-004`</v>
      </c>
      <c r="Q6" s="33" t="str">
        <f t="shared" si="2"/>
        <v>`Demo - Usr only`</v>
      </c>
      <c r="R6" s="33" t="str">
        <f t="shared" si="3"/>
        <v>`bojan.gluvacevic`</v>
      </c>
      <c r="S6" s="33" t="str">
        <f t="shared" si="4"/>
        <v>null</v>
      </c>
      <c r="T6" s="33" t="str">
        <f t="shared" si="5"/>
        <v>null</v>
      </c>
      <c r="U6" s="33" t="str">
        <f t="shared" si="6"/>
        <v>null</v>
      </c>
      <c r="Z6" s="33" t="str">
        <f t="shared" si="0"/>
        <v>[`CM-004`, `Demo - Usr only`, `bojan.gluvacevic`, null, null, null]</v>
      </c>
    </row>
    <row r="7" spans="1:26">
      <c r="A7" s="3" t="s">
        <v>16</v>
      </c>
      <c r="B7" s="3" t="s">
        <v>265</v>
      </c>
      <c r="E7" s="59" t="s">
        <v>266</v>
      </c>
      <c r="F7" s="3" t="s">
        <v>270</v>
      </c>
      <c r="P7" s="33" t="str">
        <f t="shared" si="1"/>
        <v>`CM-005`</v>
      </c>
      <c r="Q7" s="33" t="str">
        <f t="shared" si="2"/>
        <v>`Demo - Sky IE`</v>
      </c>
      <c r="R7" s="33" t="str">
        <f t="shared" si="3"/>
        <v>null</v>
      </c>
      <c r="S7" s="33" t="str">
        <f t="shared" si="4"/>
        <v>null</v>
      </c>
      <c r="T7" s="33" t="str">
        <f t="shared" si="5"/>
        <v>"http://www.sky.ie"</v>
      </c>
      <c r="U7" s="33" t="str">
        <f t="shared" si="6"/>
        <v>`Sky home`</v>
      </c>
      <c r="Z7" s="33" t="str">
        <f t="shared" si="0"/>
        <v>[`CM-005`, `Demo - Sky IE`, null, null, "http://www.sky.ie", `Sky home`]</v>
      </c>
    </row>
    <row r="8" spans="1:26">
      <c r="A8" s="3" t="s">
        <v>17</v>
      </c>
      <c r="B8" s="3" t="s">
        <v>267</v>
      </c>
      <c r="E8" s="35" t="s">
        <v>268</v>
      </c>
      <c r="F8" s="3" t="s">
        <v>269</v>
      </c>
      <c r="P8" s="33" t="str">
        <f t="shared" si="1"/>
        <v>`CM-006`</v>
      </c>
      <c r="Q8" s="33" t="str">
        <f t="shared" si="2"/>
        <v>`Demo - Github`</v>
      </c>
      <c r="R8" s="33" t="str">
        <f t="shared" si="3"/>
        <v>null</v>
      </c>
      <c r="S8" s="33" t="str">
        <f t="shared" si="4"/>
        <v>null</v>
      </c>
      <c r="T8" s="33" t="str">
        <f t="shared" si="5"/>
        <v>"http://bojangluvacevic.github.io"</v>
      </c>
      <c r="U8" s="33" t="str">
        <f t="shared" si="6"/>
        <v>`OMG - Outlook Mail Generator`</v>
      </c>
      <c r="Z8" s="33" t="str">
        <f t="shared" si="0"/>
        <v>[`CM-006`, `Demo - Github`, null, null, "http://bojangluvacevic.github.io", `OMG - Outlook Mail Generator`]</v>
      </c>
    </row>
    <row r="9" spans="1:26">
      <c r="A9" s="3" t="s">
        <v>18</v>
      </c>
      <c r="P9" s="33" t="str">
        <f t="shared" si="1"/>
        <v>`CM-007`</v>
      </c>
      <c r="Q9" s="33" t="str">
        <f t="shared" si="2"/>
        <v>null</v>
      </c>
      <c r="R9" s="33" t="str">
        <f t="shared" si="3"/>
        <v>null</v>
      </c>
      <c r="S9" s="33" t="str">
        <f t="shared" si="4"/>
        <v>null</v>
      </c>
      <c r="T9" s="33" t="str">
        <f t="shared" si="5"/>
        <v>null</v>
      </c>
      <c r="U9" s="33" t="str">
        <f t="shared" si="6"/>
        <v>null</v>
      </c>
      <c r="Z9" s="33" t="str">
        <f>IF(LEN(B9)&gt;0,CONCATENATE("[",P9,", ",Q9,", ",R9,", ",S9,", ",T9,", ",U9,"]"), "")</f>
        <v/>
      </c>
    </row>
    <row r="10" spans="1:26">
      <c r="A10" s="3" t="s">
        <v>19</v>
      </c>
      <c r="P10" s="33" t="str">
        <f t="shared" si="1"/>
        <v>`CM-008`</v>
      </c>
      <c r="Q10" s="33" t="str">
        <f t="shared" si="2"/>
        <v>null</v>
      </c>
      <c r="R10" s="33" t="str">
        <f t="shared" si="3"/>
        <v>null</v>
      </c>
      <c r="S10" s="33" t="str">
        <f t="shared" si="4"/>
        <v>null</v>
      </c>
      <c r="T10" s="33" t="str">
        <f t="shared" si="5"/>
        <v>null</v>
      </c>
      <c r="U10" s="33" t="str">
        <f t="shared" si="6"/>
        <v>null</v>
      </c>
      <c r="Z10" s="33" t="str">
        <f t="shared" ref="Z10:Z73" si="7">IF(LEN(B10)&gt;0,CONCATENATE("[",P10,", ",Q10,", ",R10,", ",S10,", ",T10,", ",U10,"]"), "")</f>
        <v/>
      </c>
    </row>
    <row r="11" spans="1:26">
      <c r="A11" s="3" t="s">
        <v>20</v>
      </c>
      <c r="P11" s="33" t="str">
        <f t="shared" si="1"/>
        <v>`CM-009`</v>
      </c>
      <c r="Q11" s="33" t="str">
        <f t="shared" si="2"/>
        <v>null</v>
      </c>
      <c r="R11" s="33" t="str">
        <f t="shared" si="3"/>
        <v>null</v>
      </c>
      <c r="S11" s="33" t="str">
        <f t="shared" si="4"/>
        <v>null</v>
      </c>
      <c r="T11" s="33" t="str">
        <f t="shared" si="5"/>
        <v>null</v>
      </c>
      <c r="U11" s="33" t="str">
        <f t="shared" si="6"/>
        <v>null</v>
      </c>
      <c r="Z11" s="33" t="str">
        <f t="shared" si="7"/>
        <v/>
      </c>
    </row>
    <row r="12" spans="1:26">
      <c r="A12" s="3" t="s">
        <v>21</v>
      </c>
      <c r="P12" s="33" t="str">
        <f t="shared" si="1"/>
        <v>`CM-010`</v>
      </c>
      <c r="Q12" s="33" t="str">
        <f t="shared" si="2"/>
        <v>null</v>
      </c>
      <c r="R12" s="33" t="str">
        <f t="shared" si="3"/>
        <v>null</v>
      </c>
      <c r="S12" s="33" t="str">
        <f t="shared" si="4"/>
        <v>null</v>
      </c>
      <c r="T12" s="33" t="str">
        <f t="shared" si="5"/>
        <v>null</v>
      </c>
      <c r="U12" s="33" t="str">
        <f t="shared" si="6"/>
        <v>null</v>
      </c>
      <c r="Z12" s="33" t="str">
        <f t="shared" si="7"/>
        <v/>
      </c>
    </row>
    <row r="13" spans="1:26">
      <c r="A13" s="3" t="s">
        <v>22</v>
      </c>
      <c r="P13" s="33" t="str">
        <f t="shared" si="1"/>
        <v>`CM-011`</v>
      </c>
      <c r="Q13" s="33" t="str">
        <f t="shared" si="2"/>
        <v>null</v>
      </c>
      <c r="R13" s="33" t="str">
        <f t="shared" si="3"/>
        <v>null</v>
      </c>
      <c r="S13" s="33" t="str">
        <f t="shared" si="4"/>
        <v>null</v>
      </c>
      <c r="T13" s="33" t="str">
        <f t="shared" si="5"/>
        <v>null</v>
      </c>
      <c r="U13" s="33" t="str">
        <f t="shared" si="6"/>
        <v>null</v>
      </c>
      <c r="Z13" s="33" t="str">
        <f t="shared" si="7"/>
        <v/>
      </c>
    </row>
    <row r="14" spans="1:26">
      <c r="A14" s="3" t="s">
        <v>23</v>
      </c>
      <c r="P14" s="33" t="str">
        <f t="shared" si="1"/>
        <v>`CM-012`</v>
      </c>
      <c r="Q14" s="33" t="str">
        <f t="shared" si="2"/>
        <v>null</v>
      </c>
      <c r="R14" s="33" t="str">
        <f t="shared" si="3"/>
        <v>null</v>
      </c>
      <c r="S14" s="33" t="str">
        <f t="shared" si="4"/>
        <v>null</v>
      </c>
      <c r="T14" s="33" t="str">
        <f t="shared" si="5"/>
        <v>null</v>
      </c>
      <c r="U14" s="33" t="str">
        <f t="shared" si="6"/>
        <v>null</v>
      </c>
      <c r="Z14" s="33" t="str">
        <f t="shared" si="7"/>
        <v/>
      </c>
    </row>
    <row r="15" spans="1:26">
      <c r="A15" s="3" t="s">
        <v>24</v>
      </c>
      <c r="P15" s="33" t="str">
        <f t="shared" si="1"/>
        <v>`CM-013`</v>
      </c>
      <c r="Q15" s="33" t="str">
        <f t="shared" si="2"/>
        <v>null</v>
      </c>
      <c r="R15" s="33" t="str">
        <f t="shared" si="3"/>
        <v>null</v>
      </c>
      <c r="S15" s="33" t="str">
        <f t="shared" si="4"/>
        <v>null</v>
      </c>
      <c r="T15" s="33" t="str">
        <f t="shared" si="5"/>
        <v>null</v>
      </c>
      <c r="U15" s="33" t="str">
        <f t="shared" si="6"/>
        <v>null</v>
      </c>
      <c r="Z15" s="33" t="str">
        <f t="shared" si="7"/>
        <v/>
      </c>
    </row>
    <row r="16" spans="1:26">
      <c r="A16" s="3" t="s">
        <v>25</v>
      </c>
      <c r="P16" s="33" t="str">
        <f t="shared" si="1"/>
        <v>`CM-014`</v>
      </c>
      <c r="Q16" s="33" t="str">
        <f t="shared" si="2"/>
        <v>null</v>
      </c>
      <c r="R16" s="33" t="str">
        <f t="shared" si="3"/>
        <v>null</v>
      </c>
      <c r="S16" s="33" t="str">
        <f t="shared" si="4"/>
        <v>null</v>
      </c>
      <c r="T16" s="33" t="str">
        <f t="shared" si="5"/>
        <v>null</v>
      </c>
      <c r="U16" s="33" t="str">
        <f t="shared" si="6"/>
        <v>null</v>
      </c>
      <c r="Z16" s="33" t="str">
        <f t="shared" si="7"/>
        <v/>
      </c>
    </row>
    <row r="17" spans="1:26">
      <c r="A17" s="3" t="s">
        <v>26</v>
      </c>
      <c r="P17" s="33" t="str">
        <f t="shared" si="1"/>
        <v>`CM-015`</v>
      </c>
      <c r="Q17" s="33" t="str">
        <f t="shared" si="2"/>
        <v>null</v>
      </c>
      <c r="R17" s="33" t="str">
        <f t="shared" si="3"/>
        <v>null</v>
      </c>
      <c r="S17" s="33" t="str">
        <f t="shared" si="4"/>
        <v>null</v>
      </c>
      <c r="T17" s="33" t="str">
        <f t="shared" si="5"/>
        <v>null</v>
      </c>
      <c r="U17" s="33" t="str">
        <f t="shared" si="6"/>
        <v>null</v>
      </c>
      <c r="Z17" s="33" t="str">
        <f t="shared" si="7"/>
        <v/>
      </c>
    </row>
    <row r="18" spans="1:26">
      <c r="A18" s="3" t="s">
        <v>27</v>
      </c>
      <c r="P18" s="33" t="str">
        <f t="shared" si="1"/>
        <v>`CM-016`</v>
      </c>
      <c r="Q18" s="33" t="str">
        <f t="shared" si="2"/>
        <v>null</v>
      </c>
      <c r="R18" s="33" t="str">
        <f t="shared" si="3"/>
        <v>null</v>
      </c>
      <c r="S18" s="33" t="str">
        <f t="shared" si="4"/>
        <v>null</v>
      </c>
      <c r="T18" s="33" t="str">
        <f t="shared" si="5"/>
        <v>null</v>
      </c>
      <c r="U18" s="33" t="str">
        <f t="shared" si="6"/>
        <v>null</v>
      </c>
      <c r="Z18" s="33" t="str">
        <f t="shared" si="7"/>
        <v/>
      </c>
    </row>
    <row r="19" spans="1:26">
      <c r="A19" s="3" t="s">
        <v>28</v>
      </c>
      <c r="P19" s="33" t="str">
        <f t="shared" si="1"/>
        <v>`CM-017`</v>
      </c>
      <c r="Q19" s="33" t="str">
        <f t="shared" si="2"/>
        <v>null</v>
      </c>
      <c r="R19" s="33" t="str">
        <f t="shared" si="3"/>
        <v>null</v>
      </c>
      <c r="S19" s="33" t="str">
        <f t="shared" si="4"/>
        <v>null</v>
      </c>
      <c r="T19" s="33" t="str">
        <f t="shared" si="5"/>
        <v>null</v>
      </c>
      <c r="U19" s="33" t="str">
        <f t="shared" si="6"/>
        <v>null</v>
      </c>
      <c r="Z19" s="33" t="str">
        <f t="shared" si="7"/>
        <v/>
      </c>
    </row>
    <row r="20" spans="1:26">
      <c r="A20" s="3" t="s">
        <v>29</v>
      </c>
      <c r="P20" s="33" t="str">
        <f t="shared" si="1"/>
        <v>`CM-018`</v>
      </c>
      <c r="Q20" s="33" t="str">
        <f t="shared" si="2"/>
        <v>null</v>
      </c>
      <c r="R20" s="33" t="str">
        <f t="shared" si="3"/>
        <v>null</v>
      </c>
      <c r="S20" s="33" t="str">
        <f t="shared" si="4"/>
        <v>null</v>
      </c>
      <c r="T20" s="33" t="str">
        <f t="shared" si="5"/>
        <v>null</v>
      </c>
      <c r="U20" s="33" t="str">
        <f t="shared" si="6"/>
        <v>null</v>
      </c>
      <c r="Z20" s="33" t="str">
        <f t="shared" si="7"/>
        <v/>
      </c>
    </row>
    <row r="21" spans="1:26">
      <c r="A21" s="3" t="s">
        <v>30</v>
      </c>
      <c r="P21" s="33" t="str">
        <f t="shared" si="1"/>
        <v>`CM-019`</v>
      </c>
      <c r="Q21" s="33" t="str">
        <f t="shared" si="2"/>
        <v>null</v>
      </c>
      <c r="R21" s="33" t="str">
        <f t="shared" si="3"/>
        <v>null</v>
      </c>
      <c r="S21" s="33" t="str">
        <f t="shared" si="4"/>
        <v>null</v>
      </c>
      <c r="T21" s="33" t="str">
        <f t="shared" si="5"/>
        <v>null</v>
      </c>
      <c r="U21" s="33" t="str">
        <f t="shared" si="6"/>
        <v>null</v>
      </c>
      <c r="Z21" s="33" t="str">
        <f t="shared" si="7"/>
        <v/>
      </c>
    </row>
    <row r="22" spans="1:26">
      <c r="A22" s="3" t="s">
        <v>31</v>
      </c>
      <c r="E22" s="51"/>
      <c r="P22" s="33" t="str">
        <f t="shared" si="1"/>
        <v>`CM-020`</v>
      </c>
      <c r="Q22" s="33" t="str">
        <f t="shared" si="2"/>
        <v>null</v>
      </c>
      <c r="R22" s="33" t="str">
        <f t="shared" si="3"/>
        <v>null</v>
      </c>
      <c r="S22" s="33" t="str">
        <f t="shared" si="4"/>
        <v>null</v>
      </c>
      <c r="T22" s="33" t="str">
        <f t="shared" si="5"/>
        <v>null</v>
      </c>
      <c r="U22" s="33" t="str">
        <f t="shared" si="6"/>
        <v>null</v>
      </c>
      <c r="Z22" s="33" t="str">
        <f t="shared" si="7"/>
        <v/>
      </c>
    </row>
    <row r="23" spans="1:26">
      <c r="A23" s="3" t="s">
        <v>32</v>
      </c>
      <c r="E23" s="51"/>
      <c r="P23" s="33" t="str">
        <f t="shared" si="1"/>
        <v>`CM-021`</v>
      </c>
      <c r="Q23" s="33" t="str">
        <f t="shared" si="2"/>
        <v>null</v>
      </c>
      <c r="R23" s="33" t="str">
        <f t="shared" si="3"/>
        <v>null</v>
      </c>
      <c r="S23" s="33" t="str">
        <f t="shared" si="4"/>
        <v>null</v>
      </c>
      <c r="T23" s="33" t="str">
        <f t="shared" si="5"/>
        <v>null</v>
      </c>
      <c r="U23" s="33" t="str">
        <f t="shared" si="6"/>
        <v>null</v>
      </c>
      <c r="Z23" s="33" t="str">
        <f t="shared" si="7"/>
        <v/>
      </c>
    </row>
    <row r="24" spans="1:26">
      <c r="A24" s="3" t="s">
        <v>33</v>
      </c>
      <c r="E24" s="51"/>
      <c r="P24" s="33" t="str">
        <f t="shared" si="1"/>
        <v>`CM-022`</v>
      </c>
      <c r="Q24" s="33" t="str">
        <f t="shared" si="2"/>
        <v>null</v>
      </c>
      <c r="R24" s="33" t="str">
        <f t="shared" si="3"/>
        <v>null</v>
      </c>
      <c r="S24" s="33" t="str">
        <f t="shared" si="4"/>
        <v>null</v>
      </c>
      <c r="T24" s="33" t="str">
        <f t="shared" si="5"/>
        <v>null</v>
      </c>
      <c r="U24" s="33" t="str">
        <f t="shared" si="6"/>
        <v>null</v>
      </c>
      <c r="Z24" s="33" t="str">
        <f t="shared" si="7"/>
        <v/>
      </c>
    </row>
    <row r="25" spans="1:26">
      <c r="A25" s="3" t="s">
        <v>34</v>
      </c>
      <c r="P25" s="33" t="str">
        <f t="shared" si="1"/>
        <v>`CM-023`</v>
      </c>
      <c r="Q25" s="33" t="str">
        <f t="shared" si="2"/>
        <v>null</v>
      </c>
      <c r="R25" s="33" t="str">
        <f t="shared" si="3"/>
        <v>null</v>
      </c>
      <c r="S25" s="33" t="str">
        <f t="shared" si="4"/>
        <v>null</v>
      </c>
      <c r="T25" s="33" t="str">
        <f t="shared" si="5"/>
        <v>null</v>
      </c>
      <c r="U25" s="33" t="str">
        <f t="shared" si="6"/>
        <v>null</v>
      </c>
      <c r="Z25" s="33" t="str">
        <f t="shared" si="7"/>
        <v/>
      </c>
    </row>
    <row r="26" spans="1:26">
      <c r="A26" s="3" t="s">
        <v>35</v>
      </c>
      <c r="P26" s="33" t="str">
        <f t="shared" si="1"/>
        <v>`CM-024`</v>
      </c>
      <c r="Q26" s="33" t="str">
        <f t="shared" si="2"/>
        <v>null</v>
      </c>
      <c r="R26" s="33" t="str">
        <f t="shared" si="3"/>
        <v>null</v>
      </c>
      <c r="S26" s="33" t="str">
        <f t="shared" si="4"/>
        <v>null</v>
      </c>
      <c r="T26" s="33" t="str">
        <f t="shared" si="5"/>
        <v>null</v>
      </c>
      <c r="U26" s="33" t="str">
        <f t="shared" si="6"/>
        <v>null</v>
      </c>
      <c r="Z26" s="33" t="str">
        <f t="shared" si="7"/>
        <v/>
      </c>
    </row>
    <row r="27" spans="1:26">
      <c r="A27" s="3" t="s">
        <v>36</v>
      </c>
      <c r="F27" s="52"/>
      <c r="P27" s="33" t="str">
        <f t="shared" si="1"/>
        <v>`CM-025`</v>
      </c>
      <c r="Q27" s="33" t="str">
        <f t="shared" si="2"/>
        <v>null</v>
      </c>
      <c r="R27" s="33" t="str">
        <f t="shared" si="3"/>
        <v>null</v>
      </c>
      <c r="S27" s="33" t="str">
        <f t="shared" si="4"/>
        <v>null</v>
      </c>
      <c r="T27" s="33" t="str">
        <f t="shared" si="5"/>
        <v>null</v>
      </c>
      <c r="U27" s="33" t="str">
        <f t="shared" si="6"/>
        <v>null</v>
      </c>
      <c r="Z27" s="33" t="str">
        <f t="shared" si="7"/>
        <v/>
      </c>
    </row>
    <row r="28" spans="1:26">
      <c r="A28" s="3" t="s">
        <v>37</v>
      </c>
      <c r="P28" s="33" t="str">
        <f t="shared" si="1"/>
        <v>`CM-026`</v>
      </c>
      <c r="Q28" s="33" t="str">
        <f t="shared" si="2"/>
        <v>null</v>
      </c>
      <c r="R28" s="33" t="str">
        <f t="shared" si="3"/>
        <v>null</v>
      </c>
      <c r="S28" s="33" t="str">
        <f t="shared" si="4"/>
        <v>null</v>
      </c>
      <c r="T28" s="33" t="str">
        <f t="shared" si="5"/>
        <v>null</v>
      </c>
      <c r="U28" s="33" t="str">
        <f t="shared" si="6"/>
        <v>null</v>
      </c>
      <c r="Z28" s="33" t="str">
        <f t="shared" si="7"/>
        <v/>
      </c>
    </row>
    <row r="29" spans="1:26">
      <c r="A29" s="3" t="s">
        <v>38</v>
      </c>
      <c r="P29" s="33" t="str">
        <f t="shared" si="1"/>
        <v>`CM-027`</v>
      </c>
      <c r="Q29" s="33" t="str">
        <f t="shared" si="2"/>
        <v>null</v>
      </c>
      <c r="R29" s="33" t="str">
        <f t="shared" si="3"/>
        <v>null</v>
      </c>
      <c r="S29" s="33" t="str">
        <f t="shared" si="4"/>
        <v>null</v>
      </c>
      <c r="T29" s="33" t="str">
        <f t="shared" si="5"/>
        <v>null</v>
      </c>
      <c r="U29" s="33" t="str">
        <f t="shared" si="6"/>
        <v>null</v>
      </c>
      <c r="Z29" s="33" t="str">
        <f t="shared" si="7"/>
        <v/>
      </c>
    </row>
    <row r="30" spans="1:26">
      <c r="A30" s="3" t="s">
        <v>39</v>
      </c>
      <c r="P30" s="33" t="str">
        <f t="shared" si="1"/>
        <v>`CM-028`</v>
      </c>
      <c r="Q30" s="33" t="str">
        <f t="shared" si="2"/>
        <v>null</v>
      </c>
      <c r="R30" s="33" t="str">
        <f t="shared" si="3"/>
        <v>null</v>
      </c>
      <c r="S30" s="33" t="str">
        <f t="shared" si="4"/>
        <v>null</v>
      </c>
      <c r="T30" s="33" t="str">
        <f t="shared" si="5"/>
        <v>null</v>
      </c>
      <c r="U30" s="33" t="str">
        <f t="shared" si="6"/>
        <v>null</v>
      </c>
      <c r="Z30" s="33" t="str">
        <f t="shared" si="7"/>
        <v/>
      </c>
    </row>
    <row r="31" spans="1:26">
      <c r="A31" s="3" t="s">
        <v>40</v>
      </c>
      <c r="P31" s="33" t="str">
        <f t="shared" si="1"/>
        <v>`CM-029`</v>
      </c>
      <c r="Q31" s="33" t="str">
        <f t="shared" si="2"/>
        <v>null</v>
      </c>
      <c r="R31" s="33" t="str">
        <f t="shared" si="3"/>
        <v>null</v>
      </c>
      <c r="S31" s="33" t="str">
        <f t="shared" si="4"/>
        <v>null</v>
      </c>
      <c r="T31" s="33" t="str">
        <f t="shared" si="5"/>
        <v>null</v>
      </c>
      <c r="U31" s="33" t="str">
        <f t="shared" si="6"/>
        <v>null</v>
      </c>
      <c r="Z31" s="33" t="str">
        <f t="shared" si="7"/>
        <v/>
      </c>
    </row>
    <row r="32" spans="1:26">
      <c r="A32" s="3" t="s">
        <v>41</v>
      </c>
      <c r="P32" s="33" t="str">
        <f t="shared" si="1"/>
        <v>`CM-030`</v>
      </c>
      <c r="Q32" s="33" t="str">
        <f t="shared" si="2"/>
        <v>null</v>
      </c>
      <c r="R32" s="33" t="str">
        <f t="shared" si="3"/>
        <v>null</v>
      </c>
      <c r="S32" s="33" t="str">
        <f t="shared" si="4"/>
        <v>null</v>
      </c>
      <c r="T32" s="33" t="str">
        <f t="shared" si="5"/>
        <v>null</v>
      </c>
      <c r="U32" s="33" t="str">
        <f t="shared" si="6"/>
        <v>null</v>
      </c>
      <c r="Z32" s="33" t="str">
        <f t="shared" si="7"/>
        <v/>
      </c>
    </row>
    <row r="33" spans="1:26">
      <c r="A33" s="3" t="s">
        <v>42</v>
      </c>
      <c r="P33" s="33" t="str">
        <f t="shared" si="1"/>
        <v>`CM-031`</v>
      </c>
      <c r="Q33" s="33" t="str">
        <f t="shared" si="2"/>
        <v>null</v>
      </c>
      <c r="R33" s="33" t="str">
        <f t="shared" si="3"/>
        <v>null</v>
      </c>
      <c r="S33" s="33" t="str">
        <f t="shared" si="4"/>
        <v>null</v>
      </c>
      <c r="T33" s="33" t="str">
        <f t="shared" si="5"/>
        <v>null</v>
      </c>
      <c r="U33" s="33" t="str">
        <f t="shared" si="6"/>
        <v>null</v>
      </c>
      <c r="Z33" s="33" t="str">
        <f t="shared" si="7"/>
        <v/>
      </c>
    </row>
    <row r="34" spans="1:26">
      <c r="A34" s="3" t="s">
        <v>43</v>
      </c>
      <c r="P34" s="33" t="str">
        <f t="shared" si="1"/>
        <v>`CM-032`</v>
      </c>
      <c r="Q34" s="33" t="str">
        <f t="shared" si="2"/>
        <v>null</v>
      </c>
      <c r="R34" s="33" t="str">
        <f t="shared" si="3"/>
        <v>null</v>
      </c>
      <c r="S34" s="33" t="str">
        <f t="shared" si="4"/>
        <v>null</v>
      </c>
      <c r="T34" s="33" t="str">
        <f t="shared" si="5"/>
        <v>null</v>
      </c>
      <c r="U34" s="33" t="str">
        <f t="shared" si="6"/>
        <v>null</v>
      </c>
      <c r="Z34" s="33" t="str">
        <f t="shared" si="7"/>
        <v/>
      </c>
    </row>
    <row r="35" spans="1:26">
      <c r="A35" s="3" t="s">
        <v>44</v>
      </c>
      <c r="P35" s="33" t="str">
        <f t="shared" si="1"/>
        <v>`CM-033`</v>
      </c>
      <c r="Q35" s="33" t="str">
        <f t="shared" si="2"/>
        <v>null</v>
      </c>
      <c r="R35" s="33" t="str">
        <f t="shared" si="3"/>
        <v>null</v>
      </c>
      <c r="S35" s="33" t="str">
        <f t="shared" si="4"/>
        <v>null</v>
      </c>
      <c r="T35" s="33" t="str">
        <f t="shared" si="5"/>
        <v>null</v>
      </c>
      <c r="U35" s="33" t="str">
        <f t="shared" si="6"/>
        <v>null</v>
      </c>
      <c r="Z35" s="33" t="str">
        <f t="shared" si="7"/>
        <v/>
      </c>
    </row>
    <row r="36" spans="1:26">
      <c r="A36" s="3" t="s">
        <v>45</v>
      </c>
      <c r="P36" s="33" t="str">
        <f t="shared" si="1"/>
        <v>`CM-034`</v>
      </c>
      <c r="Q36" s="33" t="str">
        <f t="shared" si="2"/>
        <v>null</v>
      </c>
      <c r="R36" s="33" t="str">
        <f t="shared" si="3"/>
        <v>null</v>
      </c>
      <c r="S36" s="33" t="str">
        <f t="shared" si="4"/>
        <v>null</v>
      </c>
      <c r="T36" s="33" t="str">
        <f t="shared" si="5"/>
        <v>null</v>
      </c>
      <c r="U36" s="33" t="str">
        <f t="shared" si="6"/>
        <v>null</v>
      </c>
      <c r="Z36" s="33" t="str">
        <f t="shared" si="7"/>
        <v/>
      </c>
    </row>
    <row r="37" spans="1:26">
      <c r="A37" s="3" t="s">
        <v>46</v>
      </c>
      <c r="P37" s="33" t="str">
        <f t="shared" si="1"/>
        <v>`CM-035`</v>
      </c>
      <c r="Q37" s="33" t="str">
        <f t="shared" si="2"/>
        <v>null</v>
      </c>
      <c r="R37" s="33" t="str">
        <f t="shared" si="3"/>
        <v>null</v>
      </c>
      <c r="S37" s="33" t="str">
        <f t="shared" si="4"/>
        <v>null</v>
      </c>
      <c r="T37" s="33" t="str">
        <f t="shared" si="5"/>
        <v>null</v>
      </c>
      <c r="U37" s="33" t="str">
        <f t="shared" si="6"/>
        <v>null</v>
      </c>
      <c r="Z37" s="33" t="str">
        <f t="shared" si="7"/>
        <v/>
      </c>
    </row>
    <row r="38" spans="1:26">
      <c r="A38" s="3" t="s">
        <v>47</v>
      </c>
      <c r="P38" s="33" t="str">
        <f t="shared" si="1"/>
        <v>`CM-036`</v>
      </c>
      <c r="Q38" s="33" t="str">
        <f t="shared" si="2"/>
        <v>null</v>
      </c>
      <c r="R38" s="33" t="str">
        <f t="shared" si="3"/>
        <v>null</v>
      </c>
      <c r="S38" s="33" t="str">
        <f t="shared" si="4"/>
        <v>null</v>
      </c>
      <c r="T38" s="33" t="str">
        <f t="shared" si="5"/>
        <v>null</v>
      </c>
      <c r="U38" s="33" t="str">
        <f t="shared" si="6"/>
        <v>null</v>
      </c>
      <c r="Z38" s="33" t="str">
        <f t="shared" si="7"/>
        <v/>
      </c>
    </row>
    <row r="39" spans="1:26">
      <c r="A39" s="3" t="s">
        <v>48</v>
      </c>
      <c r="P39" s="33" t="str">
        <f t="shared" si="1"/>
        <v>`CM-037`</v>
      </c>
      <c r="Q39" s="33" t="str">
        <f t="shared" si="2"/>
        <v>null</v>
      </c>
      <c r="R39" s="33" t="str">
        <f t="shared" si="3"/>
        <v>null</v>
      </c>
      <c r="S39" s="33" t="str">
        <f t="shared" si="4"/>
        <v>null</v>
      </c>
      <c r="T39" s="33" t="str">
        <f t="shared" si="5"/>
        <v>null</v>
      </c>
      <c r="U39" s="33" t="str">
        <f t="shared" si="6"/>
        <v>null</v>
      </c>
      <c r="Z39" s="33" t="str">
        <f t="shared" si="7"/>
        <v/>
      </c>
    </row>
    <row r="40" spans="1:26">
      <c r="A40" s="3" t="s">
        <v>49</v>
      </c>
      <c r="P40" s="33" t="str">
        <f t="shared" si="1"/>
        <v>`CM-038`</v>
      </c>
      <c r="Q40" s="33" t="str">
        <f t="shared" si="2"/>
        <v>null</v>
      </c>
      <c r="R40" s="33" t="str">
        <f t="shared" si="3"/>
        <v>null</v>
      </c>
      <c r="S40" s="33" t="str">
        <f t="shared" si="4"/>
        <v>null</v>
      </c>
      <c r="T40" s="33" t="str">
        <f t="shared" si="5"/>
        <v>null</v>
      </c>
      <c r="U40" s="33" t="str">
        <f t="shared" si="6"/>
        <v>null</v>
      </c>
      <c r="Z40" s="33" t="str">
        <f t="shared" si="7"/>
        <v/>
      </c>
    </row>
    <row r="41" spans="1:26">
      <c r="A41" s="3" t="s">
        <v>50</v>
      </c>
      <c r="P41" s="33" t="str">
        <f t="shared" si="1"/>
        <v>`CM-039`</v>
      </c>
      <c r="Q41" s="33" t="str">
        <f t="shared" si="2"/>
        <v>null</v>
      </c>
      <c r="R41" s="33" t="str">
        <f t="shared" si="3"/>
        <v>null</v>
      </c>
      <c r="S41" s="33" t="str">
        <f t="shared" si="4"/>
        <v>null</v>
      </c>
      <c r="T41" s="33" t="str">
        <f t="shared" si="5"/>
        <v>null</v>
      </c>
      <c r="U41" s="33" t="str">
        <f t="shared" si="6"/>
        <v>null</v>
      </c>
      <c r="Z41" s="33" t="str">
        <f t="shared" si="7"/>
        <v/>
      </c>
    </row>
    <row r="42" spans="1:26">
      <c r="A42" s="3" t="s">
        <v>51</v>
      </c>
      <c r="P42" s="33" t="str">
        <f t="shared" si="1"/>
        <v>`CM-040`</v>
      </c>
      <c r="Q42" s="33" t="str">
        <f t="shared" si="2"/>
        <v>null</v>
      </c>
      <c r="R42" s="33" t="str">
        <f t="shared" si="3"/>
        <v>null</v>
      </c>
      <c r="S42" s="33" t="str">
        <f t="shared" si="4"/>
        <v>null</v>
      </c>
      <c r="T42" s="33" t="str">
        <f t="shared" si="5"/>
        <v>null</v>
      </c>
      <c r="U42" s="33" t="str">
        <f t="shared" si="6"/>
        <v>null</v>
      </c>
      <c r="Z42" s="33" t="str">
        <f t="shared" si="7"/>
        <v/>
      </c>
    </row>
    <row r="43" spans="1:26">
      <c r="A43" s="3" t="s">
        <v>52</v>
      </c>
      <c r="P43" s="33" t="str">
        <f t="shared" si="1"/>
        <v>`CM-041`</v>
      </c>
      <c r="Q43" s="33" t="str">
        <f t="shared" si="2"/>
        <v>null</v>
      </c>
      <c r="R43" s="33" t="str">
        <f t="shared" si="3"/>
        <v>null</v>
      </c>
      <c r="S43" s="33" t="str">
        <f t="shared" si="4"/>
        <v>null</v>
      </c>
      <c r="T43" s="33" t="str">
        <f t="shared" si="5"/>
        <v>null</v>
      </c>
      <c r="U43" s="33" t="str">
        <f t="shared" si="6"/>
        <v>null</v>
      </c>
      <c r="Z43" s="33" t="str">
        <f t="shared" si="7"/>
        <v/>
      </c>
    </row>
    <row r="44" spans="1:26">
      <c r="A44" s="3" t="s">
        <v>53</v>
      </c>
      <c r="P44" s="33" t="str">
        <f t="shared" si="1"/>
        <v>`CM-042`</v>
      </c>
      <c r="Q44" s="33" t="str">
        <f t="shared" si="2"/>
        <v>null</v>
      </c>
      <c r="R44" s="33" t="str">
        <f t="shared" si="3"/>
        <v>null</v>
      </c>
      <c r="S44" s="33" t="str">
        <f t="shared" si="4"/>
        <v>null</v>
      </c>
      <c r="T44" s="33" t="str">
        <f t="shared" si="5"/>
        <v>null</v>
      </c>
      <c r="U44" s="33" t="str">
        <f t="shared" si="6"/>
        <v>null</v>
      </c>
      <c r="Z44" s="33" t="str">
        <f t="shared" si="7"/>
        <v/>
      </c>
    </row>
    <row r="45" spans="1:26">
      <c r="A45" s="3" t="s">
        <v>54</v>
      </c>
      <c r="P45" s="33" t="str">
        <f t="shared" si="1"/>
        <v>`CM-043`</v>
      </c>
      <c r="Q45" s="33" t="str">
        <f t="shared" si="2"/>
        <v>null</v>
      </c>
      <c r="R45" s="33" t="str">
        <f t="shared" si="3"/>
        <v>null</v>
      </c>
      <c r="S45" s="33" t="str">
        <f t="shared" si="4"/>
        <v>null</v>
      </c>
      <c r="T45" s="33" t="str">
        <f t="shared" si="5"/>
        <v>null</v>
      </c>
      <c r="U45" s="33" t="str">
        <f t="shared" si="6"/>
        <v>null</v>
      </c>
      <c r="Z45" s="33" t="str">
        <f t="shared" si="7"/>
        <v/>
      </c>
    </row>
    <row r="46" spans="1:26">
      <c r="A46" s="3" t="s">
        <v>55</v>
      </c>
      <c r="P46" s="33" t="str">
        <f t="shared" si="1"/>
        <v>`CM-044`</v>
      </c>
      <c r="Q46" s="33" t="str">
        <f t="shared" si="2"/>
        <v>null</v>
      </c>
      <c r="R46" s="33" t="str">
        <f t="shared" si="3"/>
        <v>null</v>
      </c>
      <c r="S46" s="33" t="str">
        <f t="shared" si="4"/>
        <v>null</v>
      </c>
      <c r="T46" s="33" t="str">
        <f t="shared" si="5"/>
        <v>null</v>
      </c>
      <c r="U46" s="33" t="str">
        <f t="shared" si="6"/>
        <v>null</v>
      </c>
      <c r="Z46" s="33" t="str">
        <f t="shared" si="7"/>
        <v/>
      </c>
    </row>
    <row r="47" spans="1:26">
      <c r="A47" s="3" t="s">
        <v>56</v>
      </c>
      <c r="P47" s="33" t="str">
        <f t="shared" si="1"/>
        <v>`CM-045`</v>
      </c>
      <c r="Q47" s="33" t="str">
        <f t="shared" si="2"/>
        <v>null</v>
      </c>
      <c r="R47" s="33" t="str">
        <f t="shared" si="3"/>
        <v>null</v>
      </c>
      <c r="S47" s="33" t="str">
        <f t="shared" si="4"/>
        <v>null</v>
      </c>
      <c r="T47" s="33" t="str">
        <f t="shared" si="5"/>
        <v>null</v>
      </c>
      <c r="U47" s="33" t="str">
        <f t="shared" si="6"/>
        <v>null</v>
      </c>
      <c r="Z47" s="33" t="str">
        <f t="shared" si="7"/>
        <v/>
      </c>
    </row>
    <row r="48" spans="1:26">
      <c r="A48" s="3" t="s">
        <v>57</v>
      </c>
      <c r="P48" s="33" t="str">
        <f t="shared" si="1"/>
        <v>`CM-046`</v>
      </c>
      <c r="Q48" s="33" t="str">
        <f t="shared" si="2"/>
        <v>null</v>
      </c>
      <c r="R48" s="33" t="str">
        <f t="shared" si="3"/>
        <v>null</v>
      </c>
      <c r="S48" s="33" t="str">
        <f t="shared" si="4"/>
        <v>null</v>
      </c>
      <c r="T48" s="33" t="str">
        <f t="shared" si="5"/>
        <v>null</v>
      </c>
      <c r="U48" s="33" t="str">
        <f t="shared" si="6"/>
        <v>null</v>
      </c>
      <c r="Z48" s="33" t="str">
        <f t="shared" si="7"/>
        <v/>
      </c>
    </row>
    <row r="49" spans="1:26">
      <c r="A49" s="3" t="s">
        <v>58</v>
      </c>
      <c r="P49" s="33" t="str">
        <f t="shared" si="1"/>
        <v>`CM-047`</v>
      </c>
      <c r="Q49" s="33" t="str">
        <f t="shared" si="2"/>
        <v>null</v>
      </c>
      <c r="R49" s="33" t="str">
        <f t="shared" si="3"/>
        <v>null</v>
      </c>
      <c r="S49" s="33" t="str">
        <f t="shared" si="4"/>
        <v>null</v>
      </c>
      <c r="T49" s="33" t="str">
        <f t="shared" si="5"/>
        <v>null</v>
      </c>
      <c r="U49" s="33" t="str">
        <f t="shared" si="6"/>
        <v>null</v>
      </c>
      <c r="Z49" s="33" t="str">
        <f t="shared" si="7"/>
        <v/>
      </c>
    </row>
    <row r="50" spans="1:26">
      <c r="A50" s="3" t="s">
        <v>59</v>
      </c>
      <c r="P50" s="33" t="str">
        <f t="shared" si="1"/>
        <v>`CM-048`</v>
      </c>
      <c r="Q50" s="33" t="str">
        <f t="shared" si="2"/>
        <v>null</v>
      </c>
      <c r="R50" s="33" t="str">
        <f t="shared" si="3"/>
        <v>null</v>
      </c>
      <c r="S50" s="33" t="str">
        <f t="shared" si="4"/>
        <v>null</v>
      </c>
      <c r="T50" s="33" t="str">
        <f t="shared" si="5"/>
        <v>null</v>
      </c>
      <c r="U50" s="33" t="str">
        <f t="shared" si="6"/>
        <v>null</v>
      </c>
      <c r="Z50" s="33" t="str">
        <f t="shared" si="7"/>
        <v/>
      </c>
    </row>
    <row r="51" spans="1:26">
      <c r="A51" s="3" t="s">
        <v>60</v>
      </c>
      <c r="P51" s="33" t="str">
        <f t="shared" si="1"/>
        <v>`CM-049`</v>
      </c>
      <c r="Q51" s="33" t="str">
        <f t="shared" si="2"/>
        <v>null</v>
      </c>
      <c r="R51" s="33" t="str">
        <f t="shared" si="3"/>
        <v>null</v>
      </c>
      <c r="S51" s="33" t="str">
        <f t="shared" si="4"/>
        <v>null</v>
      </c>
      <c r="T51" s="33" t="str">
        <f t="shared" si="5"/>
        <v>null</v>
      </c>
      <c r="U51" s="33" t="str">
        <f t="shared" si="6"/>
        <v>null</v>
      </c>
      <c r="Z51" s="33" t="str">
        <f t="shared" si="7"/>
        <v/>
      </c>
    </row>
    <row r="52" spans="1:26">
      <c r="A52" s="3" t="s">
        <v>61</v>
      </c>
      <c r="P52" s="33" t="str">
        <f t="shared" si="1"/>
        <v>`CM-050`</v>
      </c>
      <c r="Q52" s="33" t="str">
        <f t="shared" si="2"/>
        <v>null</v>
      </c>
      <c r="R52" s="33" t="str">
        <f t="shared" si="3"/>
        <v>null</v>
      </c>
      <c r="S52" s="33" t="str">
        <f t="shared" si="4"/>
        <v>null</v>
      </c>
      <c r="T52" s="33" t="str">
        <f t="shared" si="5"/>
        <v>null</v>
      </c>
      <c r="U52" s="33" t="str">
        <f t="shared" si="6"/>
        <v>null</v>
      </c>
      <c r="Z52" s="33" t="str">
        <f t="shared" si="7"/>
        <v/>
      </c>
    </row>
    <row r="53" spans="1:26">
      <c r="A53" s="3" t="s">
        <v>62</v>
      </c>
      <c r="P53" s="33" t="str">
        <f t="shared" si="1"/>
        <v>`CM-051`</v>
      </c>
      <c r="Q53" s="33" t="str">
        <f t="shared" si="2"/>
        <v>null</v>
      </c>
      <c r="R53" s="33" t="str">
        <f t="shared" si="3"/>
        <v>null</v>
      </c>
      <c r="S53" s="33" t="str">
        <f t="shared" si="4"/>
        <v>null</v>
      </c>
      <c r="T53" s="33" t="str">
        <f t="shared" si="5"/>
        <v>null</v>
      </c>
      <c r="U53" s="33" t="str">
        <f t="shared" si="6"/>
        <v>null</v>
      </c>
      <c r="Z53" s="33" t="str">
        <f t="shared" si="7"/>
        <v/>
      </c>
    </row>
    <row r="54" spans="1:26">
      <c r="A54" s="3" t="s">
        <v>63</v>
      </c>
      <c r="P54" s="33" t="str">
        <f t="shared" si="1"/>
        <v>`CM-052`</v>
      </c>
      <c r="Q54" s="33" t="str">
        <f t="shared" si="2"/>
        <v>null</v>
      </c>
      <c r="R54" s="33" t="str">
        <f t="shared" si="3"/>
        <v>null</v>
      </c>
      <c r="S54" s="33" t="str">
        <f t="shared" si="4"/>
        <v>null</v>
      </c>
      <c r="T54" s="33" t="str">
        <f t="shared" si="5"/>
        <v>null</v>
      </c>
      <c r="U54" s="33" t="str">
        <f t="shared" si="6"/>
        <v>null</v>
      </c>
      <c r="Z54" s="33" t="str">
        <f t="shared" si="7"/>
        <v/>
      </c>
    </row>
    <row r="55" spans="1:26">
      <c r="A55" s="3" t="s">
        <v>64</v>
      </c>
      <c r="P55" s="33" t="str">
        <f t="shared" si="1"/>
        <v>`CM-053`</v>
      </c>
      <c r="Q55" s="33" t="str">
        <f t="shared" si="2"/>
        <v>null</v>
      </c>
      <c r="R55" s="33" t="str">
        <f t="shared" si="3"/>
        <v>null</v>
      </c>
      <c r="S55" s="33" t="str">
        <f t="shared" si="4"/>
        <v>null</v>
      </c>
      <c r="T55" s="33" t="str">
        <f t="shared" si="5"/>
        <v>null</v>
      </c>
      <c r="U55" s="33" t="str">
        <f t="shared" si="6"/>
        <v>null</v>
      </c>
      <c r="Z55" s="33" t="str">
        <f t="shared" si="7"/>
        <v/>
      </c>
    </row>
    <row r="56" spans="1:26">
      <c r="A56" s="3" t="s">
        <v>65</v>
      </c>
      <c r="P56" s="33" t="str">
        <f t="shared" si="1"/>
        <v>`CM-054`</v>
      </c>
      <c r="Q56" s="33" t="str">
        <f t="shared" si="2"/>
        <v>null</v>
      </c>
      <c r="R56" s="33" t="str">
        <f t="shared" si="3"/>
        <v>null</v>
      </c>
      <c r="S56" s="33" t="str">
        <f t="shared" si="4"/>
        <v>null</v>
      </c>
      <c r="T56" s="33" t="str">
        <f t="shared" si="5"/>
        <v>null</v>
      </c>
      <c r="U56" s="33" t="str">
        <f t="shared" si="6"/>
        <v>null</v>
      </c>
      <c r="Z56" s="33" t="str">
        <f t="shared" si="7"/>
        <v/>
      </c>
    </row>
    <row r="57" spans="1:26">
      <c r="A57" s="3" t="s">
        <v>66</v>
      </c>
      <c r="P57" s="33" t="str">
        <f t="shared" si="1"/>
        <v>`CM-055`</v>
      </c>
      <c r="Q57" s="33" t="str">
        <f t="shared" si="2"/>
        <v>null</v>
      </c>
      <c r="R57" s="33" t="str">
        <f t="shared" si="3"/>
        <v>null</v>
      </c>
      <c r="S57" s="33" t="str">
        <f t="shared" si="4"/>
        <v>null</v>
      </c>
      <c r="T57" s="33" t="str">
        <f t="shared" si="5"/>
        <v>null</v>
      </c>
      <c r="U57" s="33" t="str">
        <f t="shared" si="6"/>
        <v>null</v>
      </c>
      <c r="Z57" s="33" t="str">
        <f t="shared" si="7"/>
        <v/>
      </c>
    </row>
    <row r="58" spans="1:26">
      <c r="A58" s="3" t="s">
        <v>67</v>
      </c>
      <c r="P58" s="33" t="str">
        <f t="shared" si="1"/>
        <v>`CM-056`</v>
      </c>
      <c r="Q58" s="33" t="str">
        <f t="shared" si="2"/>
        <v>null</v>
      </c>
      <c r="R58" s="33" t="str">
        <f t="shared" si="3"/>
        <v>null</v>
      </c>
      <c r="S58" s="33" t="str">
        <f t="shared" si="4"/>
        <v>null</v>
      </c>
      <c r="T58" s="33" t="str">
        <f t="shared" si="5"/>
        <v>null</v>
      </c>
      <c r="U58" s="33" t="str">
        <f t="shared" si="6"/>
        <v>null</v>
      </c>
      <c r="Z58" s="33" t="str">
        <f t="shared" si="7"/>
        <v/>
      </c>
    </row>
    <row r="59" spans="1:26">
      <c r="A59" s="3" t="s">
        <v>68</v>
      </c>
      <c r="P59" s="33" t="str">
        <f t="shared" si="1"/>
        <v>`CM-057`</v>
      </c>
      <c r="Q59" s="33" t="str">
        <f t="shared" si="2"/>
        <v>null</v>
      </c>
      <c r="R59" s="33" t="str">
        <f t="shared" si="3"/>
        <v>null</v>
      </c>
      <c r="S59" s="33" t="str">
        <f t="shared" si="4"/>
        <v>null</v>
      </c>
      <c r="T59" s="33" t="str">
        <f t="shared" si="5"/>
        <v>null</v>
      </c>
      <c r="U59" s="33" t="str">
        <f t="shared" si="6"/>
        <v>null</v>
      </c>
      <c r="Z59" s="33" t="str">
        <f t="shared" si="7"/>
        <v/>
      </c>
    </row>
    <row r="60" spans="1:26">
      <c r="A60" s="3" t="s">
        <v>69</v>
      </c>
      <c r="P60" s="33" t="str">
        <f t="shared" si="1"/>
        <v>`CM-058`</v>
      </c>
      <c r="Q60" s="33" t="str">
        <f t="shared" si="2"/>
        <v>null</v>
      </c>
      <c r="R60" s="33" t="str">
        <f t="shared" si="3"/>
        <v>null</v>
      </c>
      <c r="S60" s="33" t="str">
        <f t="shared" si="4"/>
        <v>null</v>
      </c>
      <c r="T60" s="33" t="str">
        <f t="shared" si="5"/>
        <v>null</v>
      </c>
      <c r="U60" s="33" t="str">
        <f t="shared" si="6"/>
        <v>null</v>
      </c>
      <c r="Z60" s="33" t="str">
        <f t="shared" si="7"/>
        <v/>
      </c>
    </row>
    <row r="61" spans="1:26">
      <c r="A61" s="3" t="s">
        <v>70</v>
      </c>
      <c r="P61" s="33" t="str">
        <f t="shared" si="1"/>
        <v>`CM-059`</v>
      </c>
      <c r="Q61" s="33" t="str">
        <f t="shared" si="2"/>
        <v>null</v>
      </c>
      <c r="R61" s="33" t="str">
        <f t="shared" si="3"/>
        <v>null</v>
      </c>
      <c r="S61" s="33" t="str">
        <f t="shared" si="4"/>
        <v>null</v>
      </c>
      <c r="T61" s="33" t="str">
        <f t="shared" si="5"/>
        <v>null</v>
      </c>
      <c r="U61" s="33" t="str">
        <f t="shared" si="6"/>
        <v>null</v>
      </c>
      <c r="Z61" s="33" t="str">
        <f t="shared" si="7"/>
        <v/>
      </c>
    </row>
    <row r="62" spans="1:26">
      <c r="A62" s="3" t="s">
        <v>71</v>
      </c>
      <c r="P62" s="33" t="str">
        <f t="shared" si="1"/>
        <v>`CM-060`</v>
      </c>
      <c r="Q62" s="33" t="str">
        <f t="shared" si="2"/>
        <v>null</v>
      </c>
      <c r="R62" s="33" t="str">
        <f t="shared" si="3"/>
        <v>null</v>
      </c>
      <c r="S62" s="33" t="str">
        <f t="shared" si="4"/>
        <v>null</v>
      </c>
      <c r="T62" s="33" t="str">
        <f t="shared" si="5"/>
        <v>null</v>
      </c>
      <c r="U62" s="33" t="str">
        <f t="shared" si="6"/>
        <v>null</v>
      </c>
      <c r="Z62" s="33" t="str">
        <f t="shared" si="7"/>
        <v/>
      </c>
    </row>
    <row r="63" spans="1:26">
      <c r="A63" s="3" t="s">
        <v>72</v>
      </c>
      <c r="P63" s="33" t="str">
        <f t="shared" si="1"/>
        <v>`CM-061`</v>
      </c>
      <c r="Q63" s="33" t="str">
        <f t="shared" si="2"/>
        <v>null</v>
      </c>
      <c r="R63" s="33" t="str">
        <f t="shared" si="3"/>
        <v>null</v>
      </c>
      <c r="S63" s="33" t="str">
        <f t="shared" si="4"/>
        <v>null</v>
      </c>
      <c r="T63" s="33" t="str">
        <f t="shared" si="5"/>
        <v>null</v>
      </c>
      <c r="U63" s="33" t="str">
        <f t="shared" si="6"/>
        <v>null</v>
      </c>
      <c r="Z63" s="33" t="str">
        <f t="shared" si="7"/>
        <v/>
      </c>
    </row>
    <row r="64" spans="1:26">
      <c r="A64" s="3" t="s">
        <v>73</v>
      </c>
      <c r="P64" s="33" t="str">
        <f t="shared" si="1"/>
        <v>`CM-062`</v>
      </c>
      <c r="Q64" s="33" t="str">
        <f t="shared" si="2"/>
        <v>null</v>
      </c>
      <c r="R64" s="33" t="str">
        <f t="shared" si="3"/>
        <v>null</v>
      </c>
      <c r="S64" s="33" t="str">
        <f t="shared" si="4"/>
        <v>null</v>
      </c>
      <c r="T64" s="33" t="str">
        <f t="shared" si="5"/>
        <v>null</v>
      </c>
      <c r="U64" s="33" t="str">
        <f t="shared" si="6"/>
        <v>null</v>
      </c>
      <c r="Z64" s="33" t="str">
        <f t="shared" si="7"/>
        <v/>
      </c>
    </row>
    <row r="65" spans="1:26">
      <c r="A65" s="3" t="s">
        <v>74</v>
      </c>
      <c r="P65" s="33" t="str">
        <f t="shared" si="1"/>
        <v>`CM-063`</v>
      </c>
      <c r="Q65" s="33" t="str">
        <f t="shared" si="2"/>
        <v>null</v>
      </c>
      <c r="R65" s="33" t="str">
        <f t="shared" si="3"/>
        <v>null</v>
      </c>
      <c r="S65" s="33" t="str">
        <f t="shared" si="4"/>
        <v>null</v>
      </c>
      <c r="T65" s="33" t="str">
        <f t="shared" si="5"/>
        <v>null</v>
      </c>
      <c r="U65" s="33" t="str">
        <f t="shared" si="6"/>
        <v>null</v>
      </c>
      <c r="Z65" s="33" t="str">
        <f t="shared" si="7"/>
        <v/>
      </c>
    </row>
    <row r="66" spans="1:26">
      <c r="A66" s="3" t="s">
        <v>75</v>
      </c>
      <c r="P66" s="33" t="str">
        <f t="shared" si="1"/>
        <v>`CM-064`</v>
      </c>
      <c r="Q66" s="33" t="str">
        <f t="shared" si="2"/>
        <v>null</v>
      </c>
      <c r="R66" s="33" t="str">
        <f t="shared" si="3"/>
        <v>null</v>
      </c>
      <c r="S66" s="33" t="str">
        <f t="shared" si="4"/>
        <v>null</v>
      </c>
      <c r="T66" s="33" t="str">
        <f t="shared" si="5"/>
        <v>null</v>
      </c>
      <c r="U66" s="33" t="str">
        <f t="shared" si="6"/>
        <v>null</v>
      </c>
      <c r="Z66" s="33" t="str">
        <f t="shared" si="7"/>
        <v/>
      </c>
    </row>
    <row r="67" spans="1:26">
      <c r="A67" s="3" t="s">
        <v>76</v>
      </c>
      <c r="P67" s="33" t="str">
        <f t="shared" si="1"/>
        <v>`CM-065`</v>
      </c>
      <c r="Q67" s="33" t="str">
        <f t="shared" si="2"/>
        <v>null</v>
      </c>
      <c r="R67" s="33" t="str">
        <f t="shared" si="3"/>
        <v>null</v>
      </c>
      <c r="S67" s="33" t="str">
        <f t="shared" si="4"/>
        <v>null</v>
      </c>
      <c r="T67" s="33" t="str">
        <f t="shared" si="5"/>
        <v>null</v>
      </c>
      <c r="U67" s="33" t="str">
        <f t="shared" si="6"/>
        <v>null</v>
      </c>
      <c r="Z67" s="33" t="str">
        <f t="shared" si="7"/>
        <v/>
      </c>
    </row>
    <row r="68" spans="1:26">
      <c r="A68" s="3" t="s">
        <v>77</v>
      </c>
      <c r="P68" s="33" t="str">
        <f t="shared" ref="P68:P102" si="8">IF(LEN(A68)=0, "null", CONCATENATE("`", A68, "`"))</f>
        <v>`CM-066`</v>
      </c>
      <c r="Q68" s="33" t="str">
        <f t="shared" ref="Q68:Q102" si="9">IF(LEN(B68)=0, "null", CONCATENATE("`", B68, "`"))</f>
        <v>null</v>
      </c>
      <c r="R68" s="33" t="str">
        <f t="shared" ref="R68:R102" si="10">IF(LEN(C68)=0, "null", CONCATENATE("`", C68, "`"))</f>
        <v>null</v>
      </c>
      <c r="S68" s="33" t="str">
        <f t="shared" ref="S68:S102" si="11">IF(LEN(D68)=0, "null", CONCATENATE("`", D68, "`"))</f>
        <v>null</v>
      </c>
      <c r="T68" s="33" t="str">
        <f t="shared" ref="T68:T102" si="12">IF(LEN(E68)=0, "null", CONCATENATE(CHAR(34), E68, CHAR(34)))</f>
        <v>null</v>
      </c>
      <c r="U68" s="33" t="str">
        <f t="shared" ref="U68:U102" si="13">IF(LEN(F68)=0, "null", CONCATENATE("`", F68, "`"))</f>
        <v>null</v>
      </c>
      <c r="Z68" s="33" t="str">
        <f t="shared" si="7"/>
        <v/>
      </c>
    </row>
    <row r="69" spans="1:26">
      <c r="A69" s="3" t="s">
        <v>78</v>
      </c>
      <c r="P69" s="33" t="str">
        <f t="shared" si="8"/>
        <v>`CM-067`</v>
      </c>
      <c r="Q69" s="33" t="str">
        <f t="shared" si="9"/>
        <v>null</v>
      </c>
      <c r="R69" s="33" t="str">
        <f t="shared" si="10"/>
        <v>null</v>
      </c>
      <c r="S69" s="33" t="str">
        <f t="shared" si="11"/>
        <v>null</v>
      </c>
      <c r="T69" s="33" t="str">
        <f t="shared" si="12"/>
        <v>null</v>
      </c>
      <c r="U69" s="33" t="str">
        <f t="shared" si="13"/>
        <v>null</v>
      </c>
      <c r="Z69" s="33" t="str">
        <f t="shared" si="7"/>
        <v/>
      </c>
    </row>
    <row r="70" spans="1:26">
      <c r="A70" s="3" t="s">
        <v>79</v>
      </c>
      <c r="P70" s="33" t="str">
        <f t="shared" si="8"/>
        <v>`CM-068`</v>
      </c>
      <c r="Q70" s="33" t="str">
        <f t="shared" si="9"/>
        <v>null</v>
      </c>
      <c r="R70" s="33" t="str">
        <f t="shared" si="10"/>
        <v>null</v>
      </c>
      <c r="S70" s="33" t="str">
        <f t="shared" si="11"/>
        <v>null</v>
      </c>
      <c r="T70" s="33" t="str">
        <f t="shared" si="12"/>
        <v>null</v>
      </c>
      <c r="U70" s="33" t="str">
        <f t="shared" si="13"/>
        <v>null</v>
      </c>
      <c r="Z70" s="33" t="str">
        <f t="shared" si="7"/>
        <v/>
      </c>
    </row>
    <row r="71" spans="1:26">
      <c r="A71" s="3" t="s">
        <v>80</v>
      </c>
      <c r="P71" s="33" t="str">
        <f t="shared" si="8"/>
        <v>`CM-069`</v>
      </c>
      <c r="Q71" s="33" t="str">
        <f t="shared" si="9"/>
        <v>null</v>
      </c>
      <c r="R71" s="33" t="str">
        <f t="shared" si="10"/>
        <v>null</v>
      </c>
      <c r="S71" s="33" t="str">
        <f t="shared" si="11"/>
        <v>null</v>
      </c>
      <c r="T71" s="33" t="str">
        <f t="shared" si="12"/>
        <v>null</v>
      </c>
      <c r="U71" s="33" t="str">
        <f t="shared" si="13"/>
        <v>null</v>
      </c>
      <c r="Z71" s="33" t="str">
        <f t="shared" si="7"/>
        <v/>
      </c>
    </row>
    <row r="72" spans="1:26">
      <c r="A72" s="3" t="s">
        <v>81</v>
      </c>
      <c r="P72" s="33" t="str">
        <f t="shared" si="8"/>
        <v>`CM-070`</v>
      </c>
      <c r="Q72" s="33" t="str">
        <f t="shared" si="9"/>
        <v>null</v>
      </c>
      <c r="R72" s="33" t="str">
        <f t="shared" si="10"/>
        <v>null</v>
      </c>
      <c r="S72" s="33" t="str">
        <f t="shared" si="11"/>
        <v>null</v>
      </c>
      <c r="T72" s="33" t="str">
        <f t="shared" si="12"/>
        <v>null</v>
      </c>
      <c r="U72" s="33" t="str">
        <f t="shared" si="13"/>
        <v>null</v>
      </c>
      <c r="Z72" s="33" t="str">
        <f t="shared" si="7"/>
        <v/>
      </c>
    </row>
    <row r="73" spans="1:26">
      <c r="A73" s="3" t="s">
        <v>82</v>
      </c>
      <c r="P73" s="33" t="str">
        <f t="shared" si="8"/>
        <v>`CM-071`</v>
      </c>
      <c r="Q73" s="33" t="str">
        <f t="shared" si="9"/>
        <v>null</v>
      </c>
      <c r="R73" s="33" t="str">
        <f t="shared" si="10"/>
        <v>null</v>
      </c>
      <c r="S73" s="33" t="str">
        <f t="shared" si="11"/>
        <v>null</v>
      </c>
      <c r="T73" s="33" t="str">
        <f t="shared" si="12"/>
        <v>null</v>
      </c>
      <c r="U73" s="33" t="str">
        <f t="shared" si="13"/>
        <v>null</v>
      </c>
      <c r="Z73" s="33" t="str">
        <f t="shared" si="7"/>
        <v/>
      </c>
    </row>
    <row r="74" spans="1:26">
      <c r="A74" s="3" t="s">
        <v>83</v>
      </c>
      <c r="P74" s="33" t="str">
        <f t="shared" si="8"/>
        <v>`CM-072`</v>
      </c>
      <c r="Q74" s="33" t="str">
        <f t="shared" si="9"/>
        <v>null</v>
      </c>
      <c r="R74" s="33" t="str">
        <f t="shared" si="10"/>
        <v>null</v>
      </c>
      <c r="S74" s="33" t="str">
        <f t="shared" si="11"/>
        <v>null</v>
      </c>
      <c r="T74" s="33" t="str">
        <f t="shared" si="12"/>
        <v>null</v>
      </c>
      <c r="U74" s="33" t="str">
        <f t="shared" si="13"/>
        <v>null</v>
      </c>
      <c r="Z74" s="33" t="str">
        <f t="shared" ref="Z74:Z102" si="14">IF(LEN(B74)&gt;0,CONCATENATE("[",P74,", ",Q74,", ",R74,", ",S74,", ",T74,", ",U74,"]"), "")</f>
        <v/>
      </c>
    </row>
    <row r="75" spans="1:26">
      <c r="A75" s="3" t="s">
        <v>84</v>
      </c>
      <c r="P75" s="33" t="str">
        <f t="shared" si="8"/>
        <v>`CM-073`</v>
      </c>
      <c r="Q75" s="33" t="str">
        <f t="shared" si="9"/>
        <v>null</v>
      </c>
      <c r="R75" s="33" t="str">
        <f t="shared" si="10"/>
        <v>null</v>
      </c>
      <c r="S75" s="33" t="str">
        <f t="shared" si="11"/>
        <v>null</v>
      </c>
      <c r="T75" s="33" t="str">
        <f t="shared" si="12"/>
        <v>null</v>
      </c>
      <c r="U75" s="33" t="str">
        <f t="shared" si="13"/>
        <v>null</v>
      </c>
      <c r="Z75" s="33" t="str">
        <f t="shared" si="14"/>
        <v/>
      </c>
    </row>
    <row r="76" spans="1:26">
      <c r="A76" s="3" t="s">
        <v>85</v>
      </c>
      <c r="P76" s="33" t="str">
        <f t="shared" si="8"/>
        <v>`CM-074`</v>
      </c>
      <c r="Q76" s="33" t="str">
        <f t="shared" si="9"/>
        <v>null</v>
      </c>
      <c r="R76" s="33" t="str">
        <f t="shared" si="10"/>
        <v>null</v>
      </c>
      <c r="S76" s="33" t="str">
        <f t="shared" si="11"/>
        <v>null</v>
      </c>
      <c r="T76" s="33" t="str">
        <f t="shared" si="12"/>
        <v>null</v>
      </c>
      <c r="U76" s="33" t="str">
        <f t="shared" si="13"/>
        <v>null</v>
      </c>
      <c r="Z76" s="33" t="str">
        <f t="shared" si="14"/>
        <v/>
      </c>
    </row>
    <row r="77" spans="1:26">
      <c r="A77" s="3" t="s">
        <v>86</v>
      </c>
      <c r="P77" s="33" t="str">
        <f t="shared" si="8"/>
        <v>`CM-075`</v>
      </c>
      <c r="Q77" s="33" t="str">
        <f t="shared" si="9"/>
        <v>null</v>
      </c>
      <c r="R77" s="33" t="str">
        <f t="shared" si="10"/>
        <v>null</v>
      </c>
      <c r="S77" s="33" t="str">
        <f t="shared" si="11"/>
        <v>null</v>
      </c>
      <c r="T77" s="33" t="str">
        <f t="shared" si="12"/>
        <v>null</v>
      </c>
      <c r="U77" s="33" t="str">
        <f t="shared" si="13"/>
        <v>null</v>
      </c>
      <c r="Z77" s="33" t="str">
        <f t="shared" si="14"/>
        <v/>
      </c>
    </row>
    <row r="78" spans="1:26">
      <c r="A78" s="3" t="s">
        <v>87</v>
      </c>
      <c r="P78" s="33" t="str">
        <f t="shared" si="8"/>
        <v>`CM-076`</v>
      </c>
      <c r="Q78" s="33" t="str">
        <f t="shared" si="9"/>
        <v>null</v>
      </c>
      <c r="R78" s="33" t="str">
        <f t="shared" si="10"/>
        <v>null</v>
      </c>
      <c r="S78" s="33" t="str">
        <f t="shared" si="11"/>
        <v>null</v>
      </c>
      <c r="T78" s="33" t="str">
        <f t="shared" si="12"/>
        <v>null</v>
      </c>
      <c r="U78" s="33" t="str">
        <f t="shared" si="13"/>
        <v>null</v>
      </c>
      <c r="Z78" s="33" t="str">
        <f t="shared" si="14"/>
        <v/>
      </c>
    </row>
    <row r="79" spans="1:26">
      <c r="A79" s="3" t="s">
        <v>88</v>
      </c>
      <c r="P79" s="33" t="str">
        <f t="shared" si="8"/>
        <v>`CM-077`</v>
      </c>
      <c r="Q79" s="33" t="str">
        <f t="shared" si="9"/>
        <v>null</v>
      </c>
      <c r="R79" s="33" t="str">
        <f t="shared" si="10"/>
        <v>null</v>
      </c>
      <c r="S79" s="33" t="str">
        <f t="shared" si="11"/>
        <v>null</v>
      </c>
      <c r="T79" s="33" t="str">
        <f t="shared" si="12"/>
        <v>null</v>
      </c>
      <c r="U79" s="33" t="str">
        <f t="shared" si="13"/>
        <v>null</v>
      </c>
      <c r="Z79" s="33" t="str">
        <f t="shared" si="14"/>
        <v/>
      </c>
    </row>
    <row r="80" spans="1:26">
      <c r="A80" s="3" t="s">
        <v>89</v>
      </c>
      <c r="P80" s="33" t="str">
        <f t="shared" si="8"/>
        <v>`CM-078`</v>
      </c>
      <c r="Q80" s="33" t="str">
        <f t="shared" si="9"/>
        <v>null</v>
      </c>
      <c r="R80" s="33" t="str">
        <f t="shared" si="10"/>
        <v>null</v>
      </c>
      <c r="S80" s="33" t="str">
        <f t="shared" si="11"/>
        <v>null</v>
      </c>
      <c r="T80" s="33" t="str">
        <f t="shared" si="12"/>
        <v>null</v>
      </c>
      <c r="U80" s="33" t="str">
        <f t="shared" si="13"/>
        <v>null</v>
      </c>
      <c r="Z80" s="33" t="str">
        <f t="shared" si="14"/>
        <v/>
      </c>
    </row>
    <row r="81" spans="1:26">
      <c r="A81" s="3" t="s">
        <v>90</v>
      </c>
      <c r="P81" s="33" t="str">
        <f t="shared" si="8"/>
        <v>`CM-079`</v>
      </c>
      <c r="Q81" s="33" t="str">
        <f t="shared" si="9"/>
        <v>null</v>
      </c>
      <c r="R81" s="33" t="str">
        <f t="shared" si="10"/>
        <v>null</v>
      </c>
      <c r="S81" s="33" t="str">
        <f t="shared" si="11"/>
        <v>null</v>
      </c>
      <c r="T81" s="33" t="str">
        <f t="shared" si="12"/>
        <v>null</v>
      </c>
      <c r="U81" s="33" t="str">
        <f t="shared" si="13"/>
        <v>null</v>
      </c>
      <c r="Z81" s="33" t="str">
        <f t="shared" si="14"/>
        <v/>
      </c>
    </row>
    <row r="82" spans="1:26">
      <c r="A82" s="3" t="s">
        <v>91</v>
      </c>
      <c r="P82" s="33" t="str">
        <f t="shared" si="8"/>
        <v>`CM-080`</v>
      </c>
      <c r="Q82" s="33" t="str">
        <f t="shared" si="9"/>
        <v>null</v>
      </c>
      <c r="R82" s="33" t="str">
        <f t="shared" si="10"/>
        <v>null</v>
      </c>
      <c r="S82" s="33" t="str">
        <f t="shared" si="11"/>
        <v>null</v>
      </c>
      <c r="T82" s="33" t="str">
        <f t="shared" si="12"/>
        <v>null</v>
      </c>
      <c r="U82" s="33" t="str">
        <f t="shared" si="13"/>
        <v>null</v>
      </c>
      <c r="Z82" s="33" t="str">
        <f t="shared" si="14"/>
        <v/>
      </c>
    </row>
    <row r="83" spans="1:26">
      <c r="A83" s="3" t="s">
        <v>92</v>
      </c>
      <c r="P83" s="33" t="str">
        <f t="shared" si="8"/>
        <v>`CM-081`</v>
      </c>
      <c r="Q83" s="33" t="str">
        <f t="shared" si="9"/>
        <v>null</v>
      </c>
      <c r="R83" s="33" t="str">
        <f t="shared" si="10"/>
        <v>null</v>
      </c>
      <c r="S83" s="33" t="str">
        <f t="shared" si="11"/>
        <v>null</v>
      </c>
      <c r="T83" s="33" t="str">
        <f t="shared" si="12"/>
        <v>null</v>
      </c>
      <c r="U83" s="33" t="str">
        <f t="shared" si="13"/>
        <v>null</v>
      </c>
      <c r="Z83" s="33" t="str">
        <f t="shared" si="14"/>
        <v/>
      </c>
    </row>
    <row r="84" spans="1:26">
      <c r="A84" s="3" t="s">
        <v>93</v>
      </c>
      <c r="P84" s="33" t="str">
        <f t="shared" si="8"/>
        <v>`CM-082`</v>
      </c>
      <c r="Q84" s="33" t="str">
        <f t="shared" si="9"/>
        <v>null</v>
      </c>
      <c r="R84" s="33" t="str">
        <f t="shared" si="10"/>
        <v>null</v>
      </c>
      <c r="S84" s="33" t="str">
        <f t="shared" si="11"/>
        <v>null</v>
      </c>
      <c r="T84" s="33" t="str">
        <f t="shared" si="12"/>
        <v>null</v>
      </c>
      <c r="U84" s="33" t="str">
        <f t="shared" si="13"/>
        <v>null</v>
      </c>
      <c r="Z84" s="33" t="str">
        <f t="shared" si="14"/>
        <v/>
      </c>
    </row>
    <row r="85" spans="1:26">
      <c r="A85" s="3" t="s">
        <v>94</v>
      </c>
      <c r="P85" s="33" t="str">
        <f t="shared" si="8"/>
        <v>`CM-083`</v>
      </c>
      <c r="Q85" s="33" t="str">
        <f t="shared" si="9"/>
        <v>null</v>
      </c>
      <c r="R85" s="33" t="str">
        <f t="shared" si="10"/>
        <v>null</v>
      </c>
      <c r="S85" s="33" t="str">
        <f t="shared" si="11"/>
        <v>null</v>
      </c>
      <c r="T85" s="33" t="str">
        <f t="shared" si="12"/>
        <v>null</v>
      </c>
      <c r="U85" s="33" t="str">
        <f t="shared" si="13"/>
        <v>null</v>
      </c>
      <c r="Z85" s="33" t="str">
        <f t="shared" si="14"/>
        <v/>
      </c>
    </row>
    <row r="86" spans="1:26">
      <c r="A86" s="3" t="s">
        <v>95</v>
      </c>
      <c r="P86" s="33" t="str">
        <f t="shared" si="8"/>
        <v>`CM-084`</v>
      </c>
      <c r="Q86" s="33" t="str">
        <f t="shared" si="9"/>
        <v>null</v>
      </c>
      <c r="R86" s="33" t="str">
        <f t="shared" si="10"/>
        <v>null</v>
      </c>
      <c r="S86" s="33" t="str">
        <f t="shared" si="11"/>
        <v>null</v>
      </c>
      <c r="T86" s="33" t="str">
        <f t="shared" si="12"/>
        <v>null</v>
      </c>
      <c r="U86" s="33" t="str">
        <f t="shared" si="13"/>
        <v>null</v>
      </c>
      <c r="Z86" s="33" t="str">
        <f t="shared" si="14"/>
        <v/>
      </c>
    </row>
    <row r="87" spans="1:26">
      <c r="A87" s="3" t="s">
        <v>96</v>
      </c>
      <c r="P87" s="33" t="str">
        <f t="shared" si="8"/>
        <v>`CM-085`</v>
      </c>
      <c r="Q87" s="33" t="str">
        <f t="shared" si="9"/>
        <v>null</v>
      </c>
      <c r="R87" s="33" t="str">
        <f t="shared" si="10"/>
        <v>null</v>
      </c>
      <c r="S87" s="33" t="str">
        <f t="shared" si="11"/>
        <v>null</v>
      </c>
      <c r="T87" s="33" t="str">
        <f t="shared" si="12"/>
        <v>null</v>
      </c>
      <c r="U87" s="33" t="str">
        <f t="shared" si="13"/>
        <v>null</v>
      </c>
      <c r="Z87" s="33" t="str">
        <f t="shared" si="14"/>
        <v/>
      </c>
    </row>
    <row r="88" spans="1:26">
      <c r="A88" s="3" t="s">
        <v>97</v>
      </c>
      <c r="P88" s="33" t="str">
        <f t="shared" si="8"/>
        <v>`CM-086`</v>
      </c>
      <c r="Q88" s="33" t="str">
        <f t="shared" si="9"/>
        <v>null</v>
      </c>
      <c r="R88" s="33" t="str">
        <f t="shared" si="10"/>
        <v>null</v>
      </c>
      <c r="S88" s="33" t="str">
        <f t="shared" si="11"/>
        <v>null</v>
      </c>
      <c r="T88" s="33" t="str">
        <f t="shared" si="12"/>
        <v>null</v>
      </c>
      <c r="U88" s="33" t="str">
        <f t="shared" si="13"/>
        <v>null</v>
      </c>
      <c r="Z88" s="33" t="str">
        <f t="shared" si="14"/>
        <v/>
      </c>
    </row>
    <row r="89" spans="1:26">
      <c r="A89" s="3" t="s">
        <v>98</v>
      </c>
      <c r="P89" s="33" t="str">
        <f t="shared" si="8"/>
        <v>`CM-087`</v>
      </c>
      <c r="Q89" s="33" t="str">
        <f t="shared" si="9"/>
        <v>null</v>
      </c>
      <c r="R89" s="33" t="str">
        <f t="shared" si="10"/>
        <v>null</v>
      </c>
      <c r="S89" s="33" t="str">
        <f t="shared" si="11"/>
        <v>null</v>
      </c>
      <c r="T89" s="33" t="str">
        <f t="shared" si="12"/>
        <v>null</v>
      </c>
      <c r="U89" s="33" t="str">
        <f t="shared" si="13"/>
        <v>null</v>
      </c>
      <c r="Z89" s="33" t="str">
        <f t="shared" si="14"/>
        <v/>
      </c>
    </row>
    <row r="90" spans="1:26">
      <c r="A90" s="3" t="s">
        <v>99</v>
      </c>
      <c r="P90" s="33" t="str">
        <f t="shared" si="8"/>
        <v>`CM-088`</v>
      </c>
      <c r="Q90" s="33" t="str">
        <f t="shared" si="9"/>
        <v>null</v>
      </c>
      <c r="R90" s="33" t="str">
        <f t="shared" si="10"/>
        <v>null</v>
      </c>
      <c r="S90" s="33" t="str">
        <f t="shared" si="11"/>
        <v>null</v>
      </c>
      <c r="T90" s="33" t="str">
        <f t="shared" si="12"/>
        <v>null</v>
      </c>
      <c r="U90" s="33" t="str">
        <f t="shared" si="13"/>
        <v>null</v>
      </c>
      <c r="Z90" s="33" t="str">
        <f t="shared" si="14"/>
        <v/>
      </c>
    </row>
    <row r="91" spans="1:26">
      <c r="A91" s="3" t="s">
        <v>100</v>
      </c>
      <c r="P91" s="33" t="str">
        <f t="shared" si="8"/>
        <v>`CM-089`</v>
      </c>
      <c r="Q91" s="33" t="str">
        <f t="shared" si="9"/>
        <v>null</v>
      </c>
      <c r="R91" s="33" t="str">
        <f t="shared" si="10"/>
        <v>null</v>
      </c>
      <c r="S91" s="33" t="str">
        <f t="shared" si="11"/>
        <v>null</v>
      </c>
      <c r="T91" s="33" t="str">
        <f t="shared" si="12"/>
        <v>null</v>
      </c>
      <c r="U91" s="33" t="str">
        <f t="shared" si="13"/>
        <v>null</v>
      </c>
      <c r="Z91" s="33" t="str">
        <f t="shared" si="14"/>
        <v/>
      </c>
    </row>
    <row r="92" spans="1:26">
      <c r="A92" s="3" t="s">
        <v>101</v>
      </c>
      <c r="P92" s="33" t="str">
        <f t="shared" si="8"/>
        <v>`CM-090`</v>
      </c>
      <c r="Q92" s="33" t="str">
        <f t="shared" si="9"/>
        <v>null</v>
      </c>
      <c r="R92" s="33" t="str">
        <f t="shared" si="10"/>
        <v>null</v>
      </c>
      <c r="S92" s="33" t="str">
        <f t="shared" si="11"/>
        <v>null</v>
      </c>
      <c r="T92" s="33" t="str">
        <f t="shared" si="12"/>
        <v>null</v>
      </c>
      <c r="U92" s="33" t="str">
        <f t="shared" si="13"/>
        <v>null</v>
      </c>
      <c r="Z92" s="33" t="str">
        <f t="shared" si="14"/>
        <v/>
      </c>
    </row>
    <row r="93" spans="1:26">
      <c r="A93" s="3" t="s">
        <v>102</v>
      </c>
      <c r="P93" s="33" t="str">
        <f t="shared" si="8"/>
        <v>`CM-091`</v>
      </c>
      <c r="Q93" s="33" t="str">
        <f t="shared" si="9"/>
        <v>null</v>
      </c>
      <c r="R93" s="33" t="str">
        <f t="shared" si="10"/>
        <v>null</v>
      </c>
      <c r="S93" s="33" t="str">
        <f t="shared" si="11"/>
        <v>null</v>
      </c>
      <c r="T93" s="33" t="str">
        <f t="shared" si="12"/>
        <v>null</v>
      </c>
      <c r="U93" s="33" t="str">
        <f t="shared" si="13"/>
        <v>null</v>
      </c>
      <c r="Z93" s="33" t="str">
        <f t="shared" si="14"/>
        <v/>
      </c>
    </row>
    <row r="94" spans="1:26">
      <c r="A94" s="3" t="s">
        <v>103</v>
      </c>
      <c r="P94" s="33" t="str">
        <f t="shared" si="8"/>
        <v>`CM-092`</v>
      </c>
      <c r="Q94" s="33" t="str">
        <f t="shared" si="9"/>
        <v>null</v>
      </c>
      <c r="R94" s="33" t="str">
        <f t="shared" si="10"/>
        <v>null</v>
      </c>
      <c r="S94" s="33" t="str">
        <f t="shared" si="11"/>
        <v>null</v>
      </c>
      <c r="T94" s="33" t="str">
        <f t="shared" si="12"/>
        <v>null</v>
      </c>
      <c r="U94" s="33" t="str">
        <f t="shared" si="13"/>
        <v>null</v>
      </c>
      <c r="Z94" s="33" t="str">
        <f t="shared" si="14"/>
        <v/>
      </c>
    </row>
    <row r="95" spans="1:26">
      <c r="A95" s="3" t="s">
        <v>104</v>
      </c>
      <c r="P95" s="33" t="str">
        <f t="shared" si="8"/>
        <v>`CM-093`</v>
      </c>
      <c r="Q95" s="33" t="str">
        <f t="shared" si="9"/>
        <v>null</v>
      </c>
      <c r="R95" s="33" t="str">
        <f t="shared" si="10"/>
        <v>null</v>
      </c>
      <c r="S95" s="33" t="str">
        <f t="shared" si="11"/>
        <v>null</v>
      </c>
      <c r="T95" s="33" t="str">
        <f t="shared" si="12"/>
        <v>null</v>
      </c>
      <c r="U95" s="33" t="str">
        <f t="shared" si="13"/>
        <v>null</v>
      </c>
      <c r="Z95" s="33" t="str">
        <f t="shared" si="14"/>
        <v/>
      </c>
    </row>
    <row r="96" spans="1:26">
      <c r="A96" s="3" t="s">
        <v>105</v>
      </c>
      <c r="P96" s="33" t="str">
        <f t="shared" si="8"/>
        <v>`CM-094`</v>
      </c>
      <c r="Q96" s="33" t="str">
        <f t="shared" si="9"/>
        <v>null</v>
      </c>
      <c r="R96" s="33" t="str">
        <f t="shared" si="10"/>
        <v>null</v>
      </c>
      <c r="S96" s="33" t="str">
        <f t="shared" si="11"/>
        <v>null</v>
      </c>
      <c r="T96" s="33" t="str">
        <f t="shared" si="12"/>
        <v>null</v>
      </c>
      <c r="U96" s="33" t="str">
        <f t="shared" si="13"/>
        <v>null</v>
      </c>
      <c r="Z96" s="33" t="str">
        <f t="shared" si="14"/>
        <v/>
      </c>
    </row>
    <row r="97" spans="1:26">
      <c r="A97" s="3" t="s">
        <v>106</v>
      </c>
      <c r="P97" s="33" t="str">
        <f t="shared" si="8"/>
        <v>`CM-095`</v>
      </c>
      <c r="Q97" s="33" t="str">
        <f t="shared" si="9"/>
        <v>null</v>
      </c>
      <c r="R97" s="33" t="str">
        <f t="shared" si="10"/>
        <v>null</v>
      </c>
      <c r="S97" s="33" t="str">
        <f t="shared" si="11"/>
        <v>null</v>
      </c>
      <c r="T97" s="33" t="str">
        <f t="shared" si="12"/>
        <v>null</v>
      </c>
      <c r="U97" s="33" t="str">
        <f t="shared" si="13"/>
        <v>null</v>
      </c>
      <c r="Z97" s="33" t="str">
        <f t="shared" si="14"/>
        <v/>
      </c>
    </row>
    <row r="98" spans="1:26">
      <c r="A98" s="3" t="s">
        <v>107</v>
      </c>
      <c r="P98" s="33" t="str">
        <f t="shared" si="8"/>
        <v>`CM-096`</v>
      </c>
      <c r="Q98" s="33" t="str">
        <f t="shared" si="9"/>
        <v>null</v>
      </c>
      <c r="R98" s="33" t="str">
        <f t="shared" si="10"/>
        <v>null</v>
      </c>
      <c r="S98" s="33" t="str">
        <f t="shared" si="11"/>
        <v>null</v>
      </c>
      <c r="T98" s="33" t="str">
        <f t="shared" si="12"/>
        <v>null</v>
      </c>
      <c r="U98" s="33" t="str">
        <f t="shared" si="13"/>
        <v>null</v>
      </c>
      <c r="Z98" s="33" t="str">
        <f t="shared" si="14"/>
        <v/>
      </c>
    </row>
    <row r="99" spans="1:26">
      <c r="A99" s="3" t="s">
        <v>108</v>
      </c>
      <c r="P99" s="33" t="str">
        <f t="shared" si="8"/>
        <v>`CM-097`</v>
      </c>
      <c r="Q99" s="33" t="str">
        <f t="shared" si="9"/>
        <v>null</v>
      </c>
      <c r="R99" s="33" t="str">
        <f t="shared" si="10"/>
        <v>null</v>
      </c>
      <c r="S99" s="33" t="str">
        <f t="shared" si="11"/>
        <v>null</v>
      </c>
      <c r="T99" s="33" t="str">
        <f t="shared" si="12"/>
        <v>null</v>
      </c>
      <c r="U99" s="33" t="str">
        <f t="shared" si="13"/>
        <v>null</v>
      </c>
      <c r="Z99" s="33" t="str">
        <f t="shared" si="14"/>
        <v/>
      </c>
    </row>
    <row r="100" spans="1:26">
      <c r="A100" s="3" t="s">
        <v>109</v>
      </c>
      <c r="P100" s="33" t="str">
        <f t="shared" si="8"/>
        <v>`CM-098`</v>
      </c>
      <c r="Q100" s="33" t="str">
        <f t="shared" si="9"/>
        <v>null</v>
      </c>
      <c r="R100" s="33" t="str">
        <f t="shared" si="10"/>
        <v>null</v>
      </c>
      <c r="S100" s="33" t="str">
        <f t="shared" si="11"/>
        <v>null</v>
      </c>
      <c r="T100" s="33" t="str">
        <f t="shared" si="12"/>
        <v>null</v>
      </c>
      <c r="U100" s="33" t="str">
        <f t="shared" si="13"/>
        <v>null</v>
      </c>
      <c r="Z100" s="33" t="str">
        <f t="shared" si="14"/>
        <v/>
      </c>
    </row>
    <row r="101" spans="1:26">
      <c r="A101" s="3" t="s">
        <v>110</v>
      </c>
      <c r="P101" s="33" t="str">
        <f t="shared" si="8"/>
        <v>`CM-099`</v>
      </c>
      <c r="Q101" s="33" t="str">
        <f t="shared" si="9"/>
        <v>null</v>
      </c>
      <c r="R101" s="33" t="str">
        <f t="shared" si="10"/>
        <v>null</v>
      </c>
      <c r="S101" s="33" t="str">
        <f t="shared" si="11"/>
        <v>null</v>
      </c>
      <c r="T101" s="33" t="str">
        <f t="shared" si="12"/>
        <v>null</v>
      </c>
      <c r="U101" s="33" t="str">
        <f t="shared" si="13"/>
        <v>null</v>
      </c>
      <c r="Z101" s="33" t="str">
        <f t="shared" si="14"/>
        <v/>
      </c>
    </row>
    <row r="102" spans="1:26">
      <c r="A102" s="3" t="s">
        <v>111</v>
      </c>
      <c r="P102" s="33" t="str">
        <f t="shared" si="8"/>
        <v>`CM-100`</v>
      </c>
      <c r="Q102" s="33" t="str">
        <f t="shared" si="9"/>
        <v>null</v>
      </c>
      <c r="R102" s="33" t="str">
        <f t="shared" si="10"/>
        <v>null</v>
      </c>
      <c r="S102" s="33" t="str">
        <f t="shared" si="11"/>
        <v>null</v>
      </c>
      <c r="T102" s="33" t="str">
        <f t="shared" si="12"/>
        <v>null</v>
      </c>
      <c r="U102" s="33" t="str">
        <f t="shared" si="13"/>
        <v>null</v>
      </c>
      <c r="Z102" s="33" t="str">
        <f t="shared" si="14"/>
        <v/>
      </c>
    </row>
    <row r="103" spans="1:26">
      <c r="Z103" s="33" t="str">
        <f>CONCATENATE("[",concatenateMultiple(Z3:Z102,", "),"]")</f>
        <v>[[`CM-001`, `Demo - All`, `bojan.gluvacevic`, `testPassword`, "http://localhost/", `Demo description`], [`CM-002`, `Demo - Usr, Pwd, Lnk`, `bojan.gluvacevic`, `testPassword`, "http://127.0.0.1", null], [`CM-003`, `Demo - Usr, Pwd`, `bojan.gluvacevic`, `testPassword`, null, null], [`CM-004`, `Demo - Usr only`, `bojan.gluvacevic`, null, null, null], [`CM-005`, `Demo - Sky IE`, null, null, "http://www.sky.ie", `Sky home`], [`CM-006`, `Demo - Github`, null, null, "http://bojangluvacevic.github.io", `OMG - Outlook Mail Generator`]]</v>
      </c>
    </row>
    <row r="104" spans="1:26">
      <c r="Z104" s="33">
        <f>ROW(Z103)</f>
        <v>103</v>
      </c>
    </row>
    <row r="105" spans="1:26">
      <c r="Z105" s="33">
        <f>COLUMN(Z103)</f>
        <v>26</v>
      </c>
    </row>
  </sheetData>
  <sheetProtection algorithmName="SHA-512" hashValue="qMrsflBk77MdUuA8l0qIpfBVyKnQxTyFyhPHqOfxczJEQvQrZIpTgfh9Cx0gR/cUJchl0eNS/PKk1y8JxnDdhw==" saltValue="5RXpM1BxpeUOGmuY8bcb0Q==" spinCount="100000" sheet="1" objects="1" scenarios="1"/>
  <protectedRanges>
    <protectedRange sqref="B3:F102" name="CredentialManager" securityDescriptor="O:WDG:WDD:(A;;CC;;;WD)"/>
  </protectedRanges>
  <phoneticPr fontId="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F36"/>
  <sheetViews>
    <sheetView tabSelected="1" zoomScale="70" zoomScaleNormal="70" workbookViewId="0">
      <selection activeCell="C21" sqref="C21"/>
    </sheetView>
  </sheetViews>
  <sheetFormatPr defaultColWidth="9.1796875" defaultRowHeight="14.5"/>
  <cols>
    <col min="1" max="1" width="9.1796875" style="6"/>
    <col min="2" max="2" width="30.81640625" style="6" customWidth="1"/>
    <col min="3" max="3" width="79.453125" style="6" customWidth="1"/>
    <col min="4" max="23" width="0" style="50" hidden="1" customWidth="1"/>
    <col min="24" max="24" width="18.54296875" style="50" hidden="1" customWidth="1"/>
    <col min="25" max="25" width="24.1796875" style="50" hidden="1" customWidth="1"/>
    <col min="26" max="58" width="0" style="50" hidden="1" customWidth="1"/>
    <col min="59" max="59" width="146" style="6" customWidth="1"/>
    <col min="60" max="16384" width="9.1796875" style="6"/>
  </cols>
  <sheetData>
    <row r="2" spans="1:58" s="4" customFormat="1" ht="15" thickBot="1">
      <c r="A2" s="21" t="s">
        <v>0</v>
      </c>
      <c r="B2" s="21" t="s">
        <v>213</v>
      </c>
      <c r="C2" s="22" t="s">
        <v>8</v>
      </c>
      <c r="D2" s="48"/>
      <c r="E2" s="49"/>
      <c r="F2" s="49"/>
      <c r="G2" s="49"/>
      <c r="H2" s="49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</row>
    <row r="3" spans="1:58">
      <c r="A3" s="5" t="s">
        <v>215</v>
      </c>
      <c r="B3" s="19" t="s">
        <v>271</v>
      </c>
      <c r="C3" s="10" t="s">
        <v>262</v>
      </c>
      <c r="W3" s="33" t="str">
        <f>IF(LEN(A3)&gt;0, CONCATENATE("`",A3,"`"),"null")</f>
        <v>`DN-001`</v>
      </c>
      <c r="X3" s="33" t="str">
        <f>IF(LEN(B3)&gt;0, CONCATENATE("`",B3,"`"),"null")</f>
        <v>`Menu - Essentials`</v>
      </c>
      <c r="Y3" s="33" t="str">
        <f>IF(LEN(C3)&gt;0, CONCATENATE("`",C3,"`"),"null")</f>
        <v>`CM-001,CM-002,CM-003,CM-004`</v>
      </c>
      <c r="Z3" s="50" t="str">
        <f>IF(AND(LEN(B3)&gt;0, LEN(C3)&gt;0),CONCATENATE("[",W3,", ",X3,", ",Y3,"]"),"")</f>
        <v>[`DN-001`, `Menu - Essentials`, `CM-001,CM-002,CM-003,CM-004`]</v>
      </c>
    </row>
    <row r="4" spans="1:58">
      <c r="A4" s="7" t="s">
        <v>216</v>
      </c>
      <c r="B4" s="20" t="s">
        <v>273</v>
      </c>
      <c r="C4" s="12" t="s">
        <v>263</v>
      </c>
      <c r="W4" s="33" t="str">
        <f t="shared" ref="W4:W11" si="0">IF(LEN(A4)&gt;0, CONCATENATE("`",A4,"`"),"null")</f>
        <v>`DN-002`</v>
      </c>
      <c r="X4" s="33" t="str">
        <f t="shared" ref="X4:X12" si="1">IF(LEN(B4)&gt;0, CONCATENATE("`",B4,"`"),"null")</f>
        <v>`Menu - Odd`</v>
      </c>
      <c r="Y4" s="33" t="str">
        <f t="shared" ref="Y4:Y12" si="2">IF(LEN(C4)&gt;0, CONCATENATE("`",C4,"`"),"null")</f>
        <v>`CM-001,CM-003,CM-005`</v>
      </c>
      <c r="Z4" s="50" t="str">
        <f t="shared" ref="Z4:Z12" si="3">IF(AND(LEN(B4)&gt;0, LEN(C4)&gt;0),CONCATENATE("[",W4,", ",X4,", ",Y4,"]"),"")</f>
        <v>[`DN-002`, `Menu - Odd`, `CM-001,CM-003,CM-005`]</v>
      </c>
    </row>
    <row r="5" spans="1:58">
      <c r="A5" s="7" t="s">
        <v>217</v>
      </c>
      <c r="B5" s="20" t="s">
        <v>274</v>
      </c>
      <c r="C5" s="12" t="s">
        <v>264</v>
      </c>
      <c r="W5" s="33" t="str">
        <f t="shared" si="0"/>
        <v>`DN-003`</v>
      </c>
      <c r="X5" s="33" t="str">
        <f t="shared" si="1"/>
        <v>`Menu - Even`</v>
      </c>
      <c r="Y5" s="33" t="str">
        <f t="shared" si="2"/>
        <v>`CM-002,CM-004,CM-006`</v>
      </c>
      <c r="Z5" s="50" t="str">
        <f t="shared" si="3"/>
        <v>[`DN-003`, `Menu - Even`, `CM-002,CM-004,CM-006`]</v>
      </c>
    </row>
    <row r="6" spans="1:58">
      <c r="A6" s="7" t="s">
        <v>218</v>
      </c>
      <c r="B6" s="57" t="s">
        <v>272</v>
      </c>
      <c r="C6" s="58" t="s">
        <v>14</v>
      </c>
      <c r="E6" s="33"/>
      <c r="W6" s="33" t="str">
        <f t="shared" si="0"/>
        <v>`DN-004`</v>
      </c>
      <c r="X6" s="33" t="str">
        <f t="shared" si="1"/>
        <v>`Something Else`</v>
      </c>
      <c r="Y6" s="33" t="str">
        <f t="shared" si="2"/>
        <v>`CM-003`</v>
      </c>
      <c r="Z6" s="50" t="str">
        <f t="shared" si="3"/>
        <v>[`DN-004`, `Something Else`, `CM-003`]</v>
      </c>
    </row>
    <row r="7" spans="1:58">
      <c r="A7" s="7" t="s">
        <v>219</v>
      </c>
      <c r="B7" s="20"/>
      <c r="C7" s="12"/>
      <c r="E7" s="33"/>
      <c r="W7" s="33" t="str">
        <f t="shared" si="0"/>
        <v>`DN-005`</v>
      </c>
      <c r="X7" s="33" t="str">
        <f t="shared" si="1"/>
        <v>null</v>
      </c>
      <c r="Y7" s="33" t="str">
        <f t="shared" si="2"/>
        <v>null</v>
      </c>
      <c r="Z7" s="50" t="str">
        <f t="shared" si="3"/>
        <v/>
      </c>
    </row>
    <row r="8" spans="1:58">
      <c r="A8" s="7" t="s">
        <v>220</v>
      </c>
      <c r="B8" s="20"/>
      <c r="C8" s="12"/>
      <c r="E8" s="33"/>
      <c r="W8" s="33" t="str">
        <f t="shared" si="0"/>
        <v>`DN-006`</v>
      </c>
      <c r="X8" s="33" t="str">
        <f t="shared" si="1"/>
        <v>null</v>
      </c>
      <c r="Y8" s="33" t="str">
        <f t="shared" si="2"/>
        <v>null</v>
      </c>
      <c r="Z8" s="50" t="str">
        <f t="shared" si="3"/>
        <v/>
      </c>
    </row>
    <row r="9" spans="1:58">
      <c r="A9" s="7" t="s">
        <v>221</v>
      </c>
      <c r="B9" s="20"/>
      <c r="C9" s="12"/>
      <c r="E9" s="33"/>
      <c r="W9" s="33" t="str">
        <f t="shared" si="0"/>
        <v>`DN-007`</v>
      </c>
      <c r="X9" s="33" t="str">
        <f t="shared" si="1"/>
        <v>null</v>
      </c>
      <c r="Y9" s="33" t="str">
        <f t="shared" si="2"/>
        <v>null</v>
      </c>
      <c r="Z9" s="50" t="str">
        <f t="shared" si="3"/>
        <v/>
      </c>
    </row>
    <row r="10" spans="1:58">
      <c r="A10" s="7" t="s">
        <v>222</v>
      </c>
      <c r="B10" s="20"/>
      <c r="C10" s="12"/>
      <c r="E10" s="33"/>
      <c r="W10" s="33" t="str">
        <f t="shared" si="0"/>
        <v>`DN-008`</v>
      </c>
      <c r="X10" s="33" t="str">
        <f t="shared" si="1"/>
        <v>null</v>
      </c>
      <c r="Y10" s="33" t="str">
        <f t="shared" si="2"/>
        <v>null</v>
      </c>
      <c r="Z10" s="50" t="str">
        <f t="shared" si="3"/>
        <v/>
      </c>
    </row>
    <row r="11" spans="1:58">
      <c r="A11" s="7" t="s">
        <v>223</v>
      </c>
      <c r="B11" s="20"/>
      <c r="C11" s="12"/>
      <c r="E11" s="33"/>
      <c r="W11" s="33" t="str">
        <f t="shared" si="0"/>
        <v>`DN-009`</v>
      </c>
      <c r="X11" s="33" t="str">
        <f t="shared" si="1"/>
        <v>null</v>
      </c>
      <c r="Y11" s="33" t="str">
        <f t="shared" si="2"/>
        <v>null</v>
      </c>
      <c r="Z11" s="50" t="str">
        <f t="shared" si="3"/>
        <v/>
      </c>
    </row>
    <row r="12" spans="1:58" ht="15" thickBot="1">
      <c r="A12" s="8" t="s">
        <v>224</v>
      </c>
      <c r="B12" s="23"/>
      <c r="C12" s="14"/>
      <c r="W12" s="33" t="str">
        <f>IF(LEN(A12)&gt;0, CONCATENATE("`",A12,"`"),"null")</f>
        <v>`DN-010`</v>
      </c>
      <c r="X12" s="33" t="str">
        <f t="shared" si="1"/>
        <v>null</v>
      </c>
      <c r="Y12" s="33" t="str">
        <f t="shared" si="2"/>
        <v>null</v>
      </c>
      <c r="Z12" s="50" t="str">
        <f t="shared" si="3"/>
        <v/>
      </c>
    </row>
    <row r="13" spans="1:58">
      <c r="Z13" s="33" t="str">
        <f>CONCATENATE("[",concatenateMultiple(Z3:Z12,","),"]")</f>
        <v>[[`DN-001`, `Menu - Essentials`, `CM-001,CM-002,CM-003,CM-004`],[`DN-002`, `Menu - Odd`, `CM-001,CM-003,CM-005`],[`DN-003`, `Menu - Even`, `CM-002,CM-004,CM-006`],[`DN-004`, `Something Else`, `CM-003`]]</v>
      </c>
    </row>
    <row r="14" spans="1:58" s="3" customFormat="1" ht="15" thickBot="1">
      <c r="A14" s="24" t="s">
        <v>0</v>
      </c>
      <c r="B14" s="24" t="s">
        <v>214</v>
      </c>
      <c r="C14" s="25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</row>
    <row r="15" spans="1:58" s="3" customFormat="1">
      <c r="A15" s="9" t="s">
        <v>225</v>
      </c>
      <c r="B15" s="27" t="s">
        <v>112</v>
      </c>
      <c r="C15" s="10" t="s">
        <v>6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 t="str">
        <f t="shared" ref="W15:W34" si="4">IF(LEN(A15)&gt;0, CONCATENATE("`",A15,"`"),"null")</f>
        <v>`GI-001`</v>
      </c>
      <c r="X15" s="33" t="str">
        <f t="shared" ref="X15:X34" si="5">IF(LEN(B15)&gt;0, CONCATENATE("`",B15,"`"),"null")</f>
        <v>`Agent Name`</v>
      </c>
      <c r="Y15" s="33" t="str">
        <f t="shared" ref="Y15:Y34" si="6">IF(LEN(C15)&gt;0, CONCATENATE("`",C15,"`"),"null")</f>
        <v>`Bojan Gluvacevic`</v>
      </c>
      <c r="Z15" s="33" t="str">
        <f t="shared" ref="Z15:Z34" si="7">IF(LEN(B15)&gt;0, CONCATENATE("[",W15,", ",X15,", ",Y15,"]"),"")</f>
        <v>[`GI-001`, `Agent Name`, `Bojan Gluvacevic`]</v>
      </c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</row>
    <row r="16" spans="1:58" s="3" customFormat="1">
      <c r="A16" s="11" t="s">
        <v>226</v>
      </c>
      <c r="B16" s="26" t="s">
        <v>275</v>
      </c>
      <c r="C16" s="12" t="s">
        <v>276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 t="str">
        <f t="shared" si="4"/>
        <v>`GI-002`</v>
      </c>
      <c r="X16" s="33" t="str">
        <f t="shared" si="5"/>
        <v>`Shortcode`</v>
      </c>
      <c r="Y16" s="33" t="str">
        <f t="shared" si="6"/>
        <v>`bgi19`</v>
      </c>
      <c r="Z16" s="33" t="str">
        <f t="shared" si="7"/>
        <v>[`GI-002`, `Shortcode`, `bgi19`]</v>
      </c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</row>
    <row r="17" spans="1:58" s="3" customFormat="1">
      <c r="A17" s="11" t="s">
        <v>227</v>
      </c>
      <c r="B17" s="26" t="s">
        <v>278</v>
      </c>
      <c r="C17" s="12" t="s">
        <v>279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 t="str">
        <f t="shared" si="4"/>
        <v>`GI-003`</v>
      </c>
      <c r="X17" s="33" t="str">
        <f t="shared" si="5"/>
        <v>`Phone`</v>
      </c>
      <c r="Y17" s="33" t="str">
        <f t="shared" si="6"/>
        <v>`083 020 6362`</v>
      </c>
      <c r="Z17" s="33" t="str">
        <f t="shared" si="7"/>
        <v>[`GI-003`, `Phone`, `083 020 6362`]</v>
      </c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</row>
    <row r="18" spans="1:58" s="3" customFormat="1">
      <c r="A18" s="11" t="s">
        <v>228</v>
      </c>
      <c r="B18" s="26" t="s">
        <v>9</v>
      </c>
      <c r="C18" s="12" t="s">
        <v>277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 t="str">
        <f t="shared" si="4"/>
        <v>`GI-004`</v>
      </c>
      <c r="X18" s="33" t="str">
        <f t="shared" si="5"/>
        <v>`Manager`</v>
      </c>
      <c r="Y18" s="33" t="str">
        <f t="shared" si="6"/>
        <v>`Gregory Costello`</v>
      </c>
      <c r="Z18" s="33" t="str">
        <f t="shared" si="7"/>
        <v>[`GI-004`, `Manager`, `Gregory Costello`]</v>
      </c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</row>
    <row r="19" spans="1:58" s="3" customFormat="1">
      <c r="A19" s="11" t="s">
        <v>229</v>
      </c>
      <c r="B19" s="26"/>
      <c r="C19" s="1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 t="str">
        <f t="shared" si="4"/>
        <v>`GI-005`</v>
      </c>
      <c r="X19" s="33" t="str">
        <f t="shared" si="5"/>
        <v>null</v>
      </c>
      <c r="Y19" s="33" t="str">
        <f t="shared" si="6"/>
        <v>null</v>
      </c>
      <c r="Z19" s="33" t="str">
        <f t="shared" si="7"/>
        <v/>
      </c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</row>
    <row r="20" spans="1:58" s="3" customFormat="1">
      <c r="A20" s="11" t="s">
        <v>230</v>
      </c>
      <c r="B20" s="26"/>
      <c r="C20" s="12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 t="str">
        <f t="shared" si="4"/>
        <v>`GI-006`</v>
      </c>
      <c r="X20" s="33" t="str">
        <f t="shared" si="5"/>
        <v>null</v>
      </c>
      <c r="Y20" s="33" t="str">
        <f t="shared" si="6"/>
        <v>null</v>
      </c>
      <c r="Z20" s="33" t="str">
        <f t="shared" si="7"/>
        <v/>
      </c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</row>
    <row r="21" spans="1:58" s="3" customFormat="1">
      <c r="A21" s="11" t="s">
        <v>231</v>
      </c>
      <c r="B21" s="26"/>
      <c r="C21" s="12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 t="str">
        <f t="shared" si="4"/>
        <v>`GI-007`</v>
      </c>
      <c r="X21" s="33" t="str">
        <f t="shared" si="5"/>
        <v>null</v>
      </c>
      <c r="Y21" s="33" t="str">
        <f t="shared" si="6"/>
        <v>null</v>
      </c>
      <c r="Z21" s="33" t="str">
        <f t="shared" si="7"/>
        <v/>
      </c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</row>
    <row r="22" spans="1:58" s="3" customFormat="1">
      <c r="A22" s="11" t="s">
        <v>232</v>
      </c>
      <c r="B22" s="26"/>
      <c r="C22" s="12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 t="str">
        <f t="shared" si="4"/>
        <v>`GI-008`</v>
      </c>
      <c r="X22" s="33" t="str">
        <f t="shared" si="5"/>
        <v>null</v>
      </c>
      <c r="Y22" s="33" t="str">
        <f t="shared" si="6"/>
        <v>null</v>
      </c>
      <c r="Z22" s="33" t="str">
        <f t="shared" si="7"/>
        <v/>
      </c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</row>
    <row r="23" spans="1:58" s="3" customFormat="1">
      <c r="A23" s="11" t="s">
        <v>233</v>
      </c>
      <c r="B23" s="26"/>
      <c r="C23" s="12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 t="str">
        <f t="shared" si="4"/>
        <v>`GI-009`</v>
      </c>
      <c r="X23" s="33" t="str">
        <f t="shared" si="5"/>
        <v>null</v>
      </c>
      <c r="Y23" s="33" t="str">
        <f t="shared" si="6"/>
        <v>null</v>
      </c>
      <c r="Z23" s="33" t="str">
        <f t="shared" si="7"/>
        <v/>
      </c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</row>
    <row r="24" spans="1:58" s="3" customFormat="1">
      <c r="A24" s="11" t="s">
        <v>234</v>
      </c>
      <c r="B24" s="26"/>
      <c r="C24" s="12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 t="str">
        <f t="shared" si="4"/>
        <v>`GI-010`</v>
      </c>
      <c r="X24" s="33" t="str">
        <f t="shared" si="5"/>
        <v>null</v>
      </c>
      <c r="Y24" s="33" t="str">
        <f t="shared" si="6"/>
        <v>null</v>
      </c>
      <c r="Z24" s="33" t="str">
        <f t="shared" si="7"/>
        <v/>
      </c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</row>
    <row r="25" spans="1:58" s="3" customFormat="1">
      <c r="A25" s="11" t="s">
        <v>235</v>
      </c>
      <c r="B25" s="26"/>
      <c r="C25" s="12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 t="str">
        <f t="shared" si="4"/>
        <v>`GI-011`</v>
      </c>
      <c r="X25" s="33" t="str">
        <f t="shared" si="5"/>
        <v>null</v>
      </c>
      <c r="Y25" s="33" t="str">
        <f t="shared" si="6"/>
        <v>null</v>
      </c>
      <c r="Z25" s="33" t="str">
        <f t="shared" si="7"/>
        <v/>
      </c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</row>
    <row r="26" spans="1:58" s="3" customFormat="1">
      <c r="A26" s="11" t="s">
        <v>236</v>
      </c>
      <c r="B26" s="26"/>
      <c r="C26" s="12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 t="str">
        <f t="shared" si="4"/>
        <v>`GI-012`</v>
      </c>
      <c r="X26" s="33" t="str">
        <f t="shared" si="5"/>
        <v>null</v>
      </c>
      <c r="Y26" s="33" t="str">
        <f t="shared" si="6"/>
        <v>null</v>
      </c>
      <c r="Z26" s="33" t="str">
        <f t="shared" si="7"/>
        <v/>
      </c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</row>
    <row r="27" spans="1:58" s="3" customFormat="1">
      <c r="A27" s="11" t="s">
        <v>237</v>
      </c>
      <c r="B27" s="26"/>
      <c r="C27" s="12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 t="str">
        <f t="shared" si="4"/>
        <v>`GI-013`</v>
      </c>
      <c r="X27" s="33" t="str">
        <f t="shared" si="5"/>
        <v>null</v>
      </c>
      <c r="Y27" s="33" t="str">
        <f t="shared" si="6"/>
        <v>null</v>
      </c>
      <c r="Z27" s="33" t="str">
        <f t="shared" si="7"/>
        <v/>
      </c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</row>
    <row r="28" spans="1:58" s="3" customFormat="1">
      <c r="A28" s="11" t="s">
        <v>238</v>
      </c>
      <c r="B28" s="26"/>
      <c r="C28" s="12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 t="str">
        <f t="shared" si="4"/>
        <v>`GI-014`</v>
      </c>
      <c r="X28" s="33" t="str">
        <f t="shared" si="5"/>
        <v>null</v>
      </c>
      <c r="Y28" s="33" t="str">
        <f t="shared" si="6"/>
        <v>null</v>
      </c>
      <c r="Z28" s="33" t="str">
        <f t="shared" si="7"/>
        <v/>
      </c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</row>
    <row r="29" spans="1:58" s="3" customFormat="1">
      <c r="A29" s="11" t="s">
        <v>239</v>
      </c>
      <c r="B29" s="26"/>
      <c r="C29" s="12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 t="str">
        <f t="shared" si="4"/>
        <v>`GI-015`</v>
      </c>
      <c r="X29" s="33" t="str">
        <f t="shared" si="5"/>
        <v>null</v>
      </c>
      <c r="Y29" s="33" t="str">
        <f t="shared" si="6"/>
        <v>null</v>
      </c>
      <c r="Z29" s="33" t="str">
        <f t="shared" si="7"/>
        <v/>
      </c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</row>
    <row r="30" spans="1:58" s="3" customFormat="1">
      <c r="A30" s="11" t="s">
        <v>240</v>
      </c>
      <c r="B30" s="26"/>
      <c r="C30" s="1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 t="str">
        <f t="shared" si="4"/>
        <v>`GI-016`</v>
      </c>
      <c r="X30" s="33" t="str">
        <f t="shared" si="5"/>
        <v>null</v>
      </c>
      <c r="Y30" s="33" t="str">
        <f t="shared" si="6"/>
        <v>null</v>
      </c>
      <c r="Z30" s="33" t="str">
        <f t="shared" si="7"/>
        <v/>
      </c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</row>
    <row r="31" spans="1:58" s="3" customFormat="1">
      <c r="A31" s="11" t="s">
        <v>241</v>
      </c>
      <c r="B31" s="26"/>
      <c r="C31" s="12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 t="str">
        <f t="shared" si="4"/>
        <v>`GI-017`</v>
      </c>
      <c r="X31" s="33" t="str">
        <f t="shared" si="5"/>
        <v>null</v>
      </c>
      <c r="Y31" s="33" t="str">
        <f t="shared" si="6"/>
        <v>null</v>
      </c>
      <c r="Z31" s="33" t="str">
        <f t="shared" si="7"/>
        <v/>
      </c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</row>
    <row r="32" spans="1:58" s="3" customFormat="1">
      <c r="A32" s="11" t="s">
        <v>242</v>
      </c>
      <c r="B32" s="26"/>
      <c r="C32" s="12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 t="str">
        <f t="shared" si="4"/>
        <v>`GI-018`</v>
      </c>
      <c r="X32" s="33" t="str">
        <f t="shared" si="5"/>
        <v>null</v>
      </c>
      <c r="Y32" s="33" t="str">
        <f t="shared" si="6"/>
        <v>null</v>
      </c>
      <c r="Z32" s="33" t="str">
        <f t="shared" si="7"/>
        <v/>
      </c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</row>
    <row r="33" spans="1:58" s="3" customFormat="1">
      <c r="A33" s="11" t="s">
        <v>243</v>
      </c>
      <c r="B33" s="26"/>
      <c r="C33" s="12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 t="str">
        <f t="shared" si="4"/>
        <v>`GI-019`</v>
      </c>
      <c r="X33" s="33" t="str">
        <f t="shared" si="5"/>
        <v>null</v>
      </c>
      <c r="Y33" s="33" t="str">
        <f t="shared" si="6"/>
        <v>null</v>
      </c>
      <c r="Z33" s="33" t="str">
        <f t="shared" si="7"/>
        <v/>
      </c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</row>
    <row r="34" spans="1:58" s="3" customFormat="1" ht="15" thickBot="1">
      <c r="A34" s="13" t="s">
        <v>244</v>
      </c>
      <c r="B34" s="28"/>
      <c r="C34" s="14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 t="str">
        <f t="shared" si="4"/>
        <v>`GI-020`</v>
      </c>
      <c r="X34" s="33" t="str">
        <f t="shared" si="5"/>
        <v>null</v>
      </c>
      <c r="Y34" s="33" t="str">
        <f t="shared" si="6"/>
        <v>null</v>
      </c>
      <c r="Z34" s="33" t="str">
        <f t="shared" si="7"/>
        <v/>
      </c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</row>
    <row r="35" spans="1:58" s="3" customFormat="1"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 t="str">
        <f>CONCATENATE("[",concatenateMultiple(Z15:Z34,","),"]")</f>
        <v>[[`GI-001`, `Agent Name`, `Bojan Gluvacevic`],[`GI-002`, `Shortcode`, `bgi19`],[`GI-003`, `Phone`, `083 020 6362`],[`GI-004`, `Manager`, `Gregory Costello`]]</v>
      </c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</row>
    <row r="36" spans="1:58">
      <c r="Z36" s="33"/>
    </row>
  </sheetData>
  <sheetProtection algorithmName="SHA-512" hashValue="5dvPnzpq3mh7uOUblBXIvbZH6pgwOTVgEcwzmFw1PwUNZcGlP42WJIqIWYhLBmynpEboEyX8bREwMa+qqu1BDQ==" saltValue="krxUSpxh1F1i4tnSWbIyHw==" spinCount="100000" sheet="1" objects="1" scenarios="1"/>
  <protectedRanges>
    <protectedRange sqref="B16:C34" name="GeneralInfo" securityDescriptor="O:WDG:WDD:(A;;CC;;;WD)"/>
    <protectedRange sqref="C15" name="GeneralInfoName" securityDescriptor="O:WDG:WDD:(A;;CC;;;WD)"/>
    <protectedRange sqref="B3:C12" name="DropdownMenus" securityDescriptor="O:WDG:WDD:(A;;CC;;;WD)"/>
  </protectedRanges>
  <dataConsolidate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103"/>
  <sheetViews>
    <sheetView topLeftCell="A7" zoomScale="55" zoomScaleNormal="55" workbookViewId="0">
      <selection activeCell="C17" sqref="C17"/>
    </sheetView>
  </sheetViews>
  <sheetFormatPr defaultColWidth="9.1796875" defaultRowHeight="14.5"/>
  <cols>
    <col min="1" max="1" width="15.81640625" style="18" customWidth="1"/>
    <col min="2" max="2" width="60.54296875" style="40" customWidth="1"/>
    <col min="3" max="3" width="142.7265625" style="36" customWidth="1"/>
    <col min="4" max="4" width="0" style="43" hidden="1" customWidth="1"/>
    <col min="5" max="5" width="11.453125" style="43" hidden="1" customWidth="1"/>
    <col min="6" max="58" width="0" style="43" hidden="1" customWidth="1"/>
    <col min="59" max="59" width="200.1796875" style="43" customWidth="1"/>
    <col min="60" max="68" width="9.1796875" style="43"/>
    <col min="69" max="16384" width="9.1796875" style="17"/>
  </cols>
  <sheetData>
    <row r="1" spans="1:68">
      <c r="E1" s="44" t="s">
        <v>245</v>
      </c>
      <c r="F1" s="44" t="s">
        <v>246</v>
      </c>
      <c r="G1" s="44" t="s">
        <v>249</v>
      </c>
      <c r="H1" s="44" t="s">
        <v>250</v>
      </c>
      <c r="I1" s="44" t="s">
        <v>246</v>
      </c>
      <c r="J1" s="45" t="s">
        <v>248</v>
      </c>
      <c r="K1" s="44" t="s">
        <v>251</v>
      </c>
      <c r="L1" s="44" t="s">
        <v>247</v>
      </c>
    </row>
    <row r="2" spans="1:68" s="16" customFormat="1" ht="15" thickBot="1">
      <c r="A2" s="15" t="s">
        <v>0</v>
      </c>
      <c r="B2" s="38" t="s">
        <v>10</v>
      </c>
      <c r="C2" s="38" t="s">
        <v>11</v>
      </c>
      <c r="D2" s="46"/>
      <c r="E2" s="46">
        <v>10</v>
      </c>
      <c r="F2" s="46">
        <v>34</v>
      </c>
      <c r="G2" s="46">
        <v>47</v>
      </c>
      <c r="H2" s="46">
        <v>42</v>
      </c>
      <c r="I2" s="46">
        <v>34</v>
      </c>
      <c r="J2" s="46">
        <v>39</v>
      </c>
      <c r="K2" s="46">
        <v>92</v>
      </c>
      <c r="L2" s="46">
        <v>96</v>
      </c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</row>
    <row r="3" spans="1:68" ht="40" customHeight="1">
      <c r="A3" s="29" t="s">
        <v>113</v>
      </c>
      <c r="B3" s="55" t="s">
        <v>254</v>
      </c>
      <c r="C3" s="30" t="str">
        <f>CONCATENATE("This is a multile demo of some important content to remember:",CHAR(10),"Line 1",CHAR(10),"Line 2",CHAR(10),"Line etc…",CHAR(10),"Content for ",A3)</f>
        <v>This is a multile demo of some important content to remember:
Line 1
Line 2
Line etc…
Content for CT-001</v>
      </c>
      <c r="E3" s="47" t="str">
        <f>SUBSTITUTE(C3,CHAR(10),"&lt;br&gt;")</f>
        <v>This is a multile demo of some important content to remember:&lt;br&gt;Line 1&lt;br&gt;Line 2&lt;br&gt;Line etc…&lt;br&gt;Content for CT-001</v>
      </c>
      <c r="F3" s="47" t="str">
        <f>SUBSTITUTE(E3,CHAR(34),"&amp;quot;")</f>
        <v>This is a multile demo of some important content to remember:&lt;br&gt;Line 1&lt;br&gt;Line 2&lt;br&gt;Line etc…&lt;br&gt;Content for CT-001</v>
      </c>
      <c r="G3" s="47" t="str">
        <f>SUBSTITUTE(F3,"//","&amp;sol;")</f>
        <v>This is a multile demo of some important content to remember:&lt;br&gt;Line 1&lt;br&gt;Line 2&lt;br&gt;Line etc…&lt;br&gt;Content for CT-001</v>
      </c>
      <c r="H3" s="47" t="str">
        <f>SUBSTITUTE(G3,"/*","&amp;ast;")</f>
        <v>This is a multile demo of some important content to remember:&lt;br&gt;Line 1&lt;br&gt;Line 2&lt;br&gt;Line etc…&lt;br&gt;Content for CT-001</v>
      </c>
      <c r="I3" s="47" t="str">
        <f>SUBSTITUTE(H3,CHAR(34),"&amp;quot;")</f>
        <v>This is a multile demo of some important content to remember:&lt;br&gt;Line 1&lt;br&gt;Line 2&lt;br&gt;Line etc…&lt;br&gt;Content for CT-001</v>
      </c>
      <c r="J3" s="47" t="str">
        <f>SUBSTITUTE(I3,CHAR(39),CHAR(39))</f>
        <v>This is a multile demo of some important content to remember:&lt;br&gt;Line 1&lt;br&gt;Line 2&lt;br&gt;Line etc…&lt;br&gt;Content for CT-001</v>
      </c>
      <c r="K3" s="47" t="str">
        <f>SUBSTITUTE(J3,"&lt;!--","&amp;bsol;")</f>
        <v>This is a multile demo of some important content to remember:&lt;br&gt;Line 1&lt;br&gt;Line 2&lt;br&gt;Line etc…&lt;br&gt;Content for CT-001</v>
      </c>
      <c r="L3" s="47" t="str">
        <f>SUBSTITUTE(K3,CHAR(96),"&amp;grave;")</f>
        <v>This is a multile demo of some important content to remember:&lt;br&gt;Line 1&lt;br&gt;Line 2&lt;br&gt;Line etc…&lt;br&gt;Content for CT-001</v>
      </c>
      <c r="W3" s="43" t="str">
        <f>IF(LEN(A3)&gt;0, CONCATENATE("`",A3,"`"),"null")</f>
        <v>`CT-001`</v>
      </c>
      <c r="X3" s="43" t="str">
        <f>IF(LEN(B3)&gt;0, CONCATENATE("`",B3,"`"),"null")</f>
        <v>`Demo CT-001`</v>
      </c>
      <c r="Y3" s="43" t="str">
        <f>IF(LEN(L3)&gt;0, CONCATENATE("`",L3,"`"),"null")</f>
        <v>`This is a multile demo of some important content to remember:&lt;br&gt;Line 1&lt;br&gt;Line 2&lt;br&gt;Line etc…&lt;br&gt;Content for CT-001`</v>
      </c>
      <c r="Z3" s="43" t="str">
        <f>IF(AND(LEN(B3)&gt;0, LEN(C3)&gt;0),CONCATENATE("[",W3,", ",X3,", ",Y3,"]"),"")</f>
        <v>[`CT-001`, `Demo CT-001`, `This is a multile demo of some important content to remember:&lt;br&gt;Line 1&lt;br&gt;Line 2&lt;br&gt;Line etc…&lt;br&gt;Content for CT-001`]</v>
      </c>
    </row>
    <row r="4" spans="1:68" ht="40" customHeight="1">
      <c r="A4" s="31" t="s">
        <v>114</v>
      </c>
      <c r="B4" s="41" t="s">
        <v>253</v>
      </c>
      <c r="C4" s="37" t="str">
        <f>CONCATENATE("This is a multile demo of some important content to remember:",CHAR(10),"Line 1",CHAR(10),"Line 2",CHAR(10),"Line etc…",CHAR(10),"Content for ",A4)</f>
        <v>This is a multile demo of some important content to remember:
Line 1
Line 2
Line etc…
Content for CT-002</v>
      </c>
      <c r="E4" s="47" t="str">
        <f t="shared" ref="E4:E67" si="0">SUBSTITUTE(C4,CHAR(10),"&lt;br&gt;")</f>
        <v>This is a multile demo of some important content to remember:&lt;br&gt;Line 1&lt;br&gt;Line 2&lt;br&gt;Line etc…&lt;br&gt;Content for CT-002</v>
      </c>
      <c r="F4" s="47" t="str">
        <f t="shared" ref="F4:F67" si="1">SUBSTITUTE(E4,CHAR(34),"&amp;quot;")</f>
        <v>This is a multile demo of some important content to remember:&lt;br&gt;Line 1&lt;br&gt;Line 2&lt;br&gt;Line etc…&lt;br&gt;Content for CT-002</v>
      </c>
      <c r="G4" s="47" t="str">
        <f t="shared" ref="G4:G67" si="2">SUBSTITUTE(F4,"//","&amp;sol;")</f>
        <v>This is a multile demo of some important content to remember:&lt;br&gt;Line 1&lt;br&gt;Line 2&lt;br&gt;Line etc…&lt;br&gt;Content for CT-002</v>
      </c>
      <c r="H4" s="47" t="str">
        <f t="shared" ref="H4:H67" si="3">SUBSTITUTE(G4,"/*","&amp;ast;")</f>
        <v>This is a multile demo of some important content to remember:&lt;br&gt;Line 1&lt;br&gt;Line 2&lt;br&gt;Line etc…&lt;br&gt;Content for CT-002</v>
      </c>
      <c r="I4" s="47" t="str">
        <f t="shared" ref="I4:I67" si="4">SUBSTITUTE(H4,CHAR(34),"&amp;quot;")</f>
        <v>This is a multile demo of some important content to remember:&lt;br&gt;Line 1&lt;br&gt;Line 2&lt;br&gt;Line etc…&lt;br&gt;Content for CT-002</v>
      </c>
      <c r="J4" s="47" t="str">
        <f t="shared" ref="J4:J67" si="5">SUBSTITUTE(I4,CHAR(39),CHAR(39))</f>
        <v>This is a multile demo of some important content to remember:&lt;br&gt;Line 1&lt;br&gt;Line 2&lt;br&gt;Line etc…&lt;br&gt;Content for CT-002</v>
      </c>
      <c r="K4" s="47" t="str">
        <f t="shared" ref="K4:K67" si="6">SUBSTITUTE(J4,"&lt;!--","&amp;bsol;")</f>
        <v>This is a multile demo of some important content to remember:&lt;br&gt;Line 1&lt;br&gt;Line 2&lt;br&gt;Line etc…&lt;br&gt;Content for CT-002</v>
      </c>
      <c r="L4" s="47" t="str">
        <f t="shared" ref="L4:L67" si="7">SUBSTITUTE(K4,CHAR(96),"&amp;grave;")</f>
        <v>This is a multile demo of some important content to remember:&lt;br&gt;Line 1&lt;br&gt;Line 2&lt;br&gt;Line etc…&lt;br&gt;Content for CT-002</v>
      </c>
      <c r="W4" s="43" t="str">
        <f t="shared" ref="W4:W67" si="8">IF(LEN(A4)&gt;0, CONCATENATE("`",A4,"`"),"null")</f>
        <v>`CT-002`</v>
      </c>
      <c r="X4" s="43" t="str">
        <f t="shared" ref="X4:X67" si="9">IF(LEN(B4)&gt;0, CONCATENATE("`",B4,"`"),"null")</f>
        <v>`Demo CT-002`</v>
      </c>
      <c r="Y4" s="43" t="str">
        <f t="shared" ref="Y4:Y67" si="10">IF(LEN(L4)&gt;0, CONCATENATE("`",L4,"`"),"null")</f>
        <v>`This is a multile demo of some important content to remember:&lt;br&gt;Line 1&lt;br&gt;Line 2&lt;br&gt;Line etc…&lt;br&gt;Content for CT-002`</v>
      </c>
      <c r="Z4" s="43" t="str">
        <f t="shared" ref="Z4:Z67" si="11">IF(AND(LEN(B4)&gt;0, LEN(C4)&gt;0),CONCATENATE("[",W4,", ",X4,", ",Y4,"]"),"")</f>
        <v>[`CT-002`, `Demo CT-002`, `This is a multile demo of some important content to remember:&lt;br&gt;Line 1&lt;br&gt;Line 2&lt;br&gt;Line etc…&lt;br&gt;Content for CT-002`]</v>
      </c>
    </row>
    <row r="5" spans="1:68" ht="40" customHeight="1">
      <c r="A5" s="31" t="s">
        <v>115</v>
      </c>
      <c r="B5" s="41" t="str">
        <f>CONCATENATE("Demo ",A5)</f>
        <v>Demo CT-003</v>
      </c>
      <c r="C5" s="56" t="str">
        <f t="shared" ref="C5:C17" si="12">CONCATENATE("This is a multile demo of some important content to remember:",CHAR(10),"Line 1",CHAR(10),"Line 2",CHAR(10),"Line etc…",CHAR(10),"Content for ",A5)</f>
        <v>This is a multile demo of some important content to remember:
Line 1
Line 2
Line etc…
Content for CT-003</v>
      </c>
      <c r="E5" s="47" t="str">
        <f t="shared" si="0"/>
        <v>This is a multile demo of some important content to remember:&lt;br&gt;Line 1&lt;br&gt;Line 2&lt;br&gt;Line etc…&lt;br&gt;Content for CT-003</v>
      </c>
      <c r="F5" s="47" t="str">
        <f t="shared" si="1"/>
        <v>This is a multile demo of some important content to remember:&lt;br&gt;Line 1&lt;br&gt;Line 2&lt;br&gt;Line etc…&lt;br&gt;Content for CT-003</v>
      </c>
      <c r="G5" s="47" t="str">
        <f t="shared" si="2"/>
        <v>This is a multile demo of some important content to remember:&lt;br&gt;Line 1&lt;br&gt;Line 2&lt;br&gt;Line etc…&lt;br&gt;Content for CT-003</v>
      </c>
      <c r="H5" s="47" t="str">
        <f t="shared" si="3"/>
        <v>This is a multile demo of some important content to remember:&lt;br&gt;Line 1&lt;br&gt;Line 2&lt;br&gt;Line etc…&lt;br&gt;Content for CT-003</v>
      </c>
      <c r="I5" s="47" t="str">
        <f t="shared" si="4"/>
        <v>This is a multile demo of some important content to remember:&lt;br&gt;Line 1&lt;br&gt;Line 2&lt;br&gt;Line etc…&lt;br&gt;Content for CT-003</v>
      </c>
      <c r="J5" s="47" t="str">
        <f t="shared" si="5"/>
        <v>This is a multile demo of some important content to remember:&lt;br&gt;Line 1&lt;br&gt;Line 2&lt;br&gt;Line etc…&lt;br&gt;Content for CT-003</v>
      </c>
      <c r="K5" s="47" t="str">
        <f t="shared" si="6"/>
        <v>This is a multile demo of some important content to remember:&lt;br&gt;Line 1&lt;br&gt;Line 2&lt;br&gt;Line etc…&lt;br&gt;Content for CT-003</v>
      </c>
      <c r="L5" s="47" t="str">
        <f t="shared" si="7"/>
        <v>This is a multile demo of some important content to remember:&lt;br&gt;Line 1&lt;br&gt;Line 2&lt;br&gt;Line etc…&lt;br&gt;Content for CT-003</v>
      </c>
      <c r="W5" s="43" t="str">
        <f t="shared" si="8"/>
        <v>`CT-003`</v>
      </c>
      <c r="X5" s="43" t="str">
        <f t="shared" si="9"/>
        <v>`Demo CT-003`</v>
      </c>
      <c r="Y5" s="43" t="str">
        <f t="shared" si="10"/>
        <v>`This is a multile demo of some important content to remember:&lt;br&gt;Line 1&lt;br&gt;Line 2&lt;br&gt;Line etc…&lt;br&gt;Content for CT-003`</v>
      </c>
      <c r="Z5" s="43" t="str">
        <f t="shared" si="11"/>
        <v>[`CT-003`, `Demo CT-003`, `This is a multile demo of some important content to remember:&lt;br&gt;Line 1&lt;br&gt;Line 2&lt;br&gt;Line etc…&lt;br&gt;Content for CT-003`]</v>
      </c>
    </row>
    <row r="6" spans="1:68" ht="40" customHeight="1">
      <c r="A6" s="31" t="s">
        <v>116</v>
      </c>
      <c r="B6" s="55" t="str">
        <f t="shared" ref="B6:B16" si="13">CONCATENATE("Demo ",A6)</f>
        <v>Demo CT-004</v>
      </c>
      <c r="C6" s="56" t="str">
        <f t="shared" si="12"/>
        <v>This is a multile demo of some important content to remember:
Line 1
Line 2
Line etc…
Content for CT-004</v>
      </c>
      <c r="E6" s="47" t="str">
        <f t="shared" si="0"/>
        <v>This is a multile demo of some important content to remember:&lt;br&gt;Line 1&lt;br&gt;Line 2&lt;br&gt;Line etc…&lt;br&gt;Content for CT-004</v>
      </c>
      <c r="F6" s="47" t="str">
        <f t="shared" si="1"/>
        <v>This is a multile demo of some important content to remember:&lt;br&gt;Line 1&lt;br&gt;Line 2&lt;br&gt;Line etc…&lt;br&gt;Content for CT-004</v>
      </c>
      <c r="G6" s="47" t="str">
        <f t="shared" si="2"/>
        <v>This is a multile demo of some important content to remember:&lt;br&gt;Line 1&lt;br&gt;Line 2&lt;br&gt;Line etc…&lt;br&gt;Content for CT-004</v>
      </c>
      <c r="H6" s="47" t="str">
        <f t="shared" si="3"/>
        <v>This is a multile demo of some important content to remember:&lt;br&gt;Line 1&lt;br&gt;Line 2&lt;br&gt;Line etc…&lt;br&gt;Content for CT-004</v>
      </c>
      <c r="I6" s="47" t="str">
        <f t="shared" si="4"/>
        <v>This is a multile demo of some important content to remember:&lt;br&gt;Line 1&lt;br&gt;Line 2&lt;br&gt;Line etc…&lt;br&gt;Content for CT-004</v>
      </c>
      <c r="J6" s="47" t="str">
        <f t="shared" si="5"/>
        <v>This is a multile demo of some important content to remember:&lt;br&gt;Line 1&lt;br&gt;Line 2&lt;br&gt;Line etc…&lt;br&gt;Content for CT-004</v>
      </c>
      <c r="K6" s="47" t="str">
        <f t="shared" si="6"/>
        <v>This is a multile demo of some important content to remember:&lt;br&gt;Line 1&lt;br&gt;Line 2&lt;br&gt;Line etc…&lt;br&gt;Content for CT-004</v>
      </c>
      <c r="L6" s="47" t="str">
        <f t="shared" si="7"/>
        <v>This is a multile demo of some important content to remember:&lt;br&gt;Line 1&lt;br&gt;Line 2&lt;br&gt;Line etc…&lt;br&gt;Content for CT-004</v>
      </c>
      <c r="W6" s="43" t="str">
        <f t="shared" si="8"/>
        <v>`CT-004`</v>
      </c>
      <c r="X6" s="43" t="str">
        <f t="shared" si="9"/>
        <v>`Demo CT-004`</v>
      </c>
      <c r="Y6" s="43" t="str">
        <f t="shared" si="10"/>
        <v>`This is a multile demo of some important content to remember:&lt;br&gt;Line 1&lt;br&gt;Line 2&lt;br&gt;Line etc…&lt;br&gt;Content for CT-004`</v>
      </c>
      <c r="Z6" s="43" t="str">
        <f t="shared" si="11"/>
        <v>[`CT-004`, `Demo CT-004`, `This is a multile demo of some important content to remember:&lt;br&gt;Line 1&lt;br&gt;Line 2&lt;br&gt;Line etc…&lt;br&gt;Content for CT-004`]</v>
      </c>
    </row>
    <row r="7" spans="1:68" ht="40" customHeight="1">
      <c r="A7" s="31" t="s">
        <v>117</v>
      </c>
      <c r="B7" s="55" t="str">
        <f t="shared" si="13"/>
        <v>Demo CT-005</v>
      </c>
      <c r="C7" s="56" t="str">
        <f t="shared" si="12"/>
        <v>This is a multile demo of some important content to remember:
Line 1
Line 2
Line etc…
Content for CT-005</v>
      </c>
      <c r="E7" s="47" t="str">
        <f t="shared" si="0"/>
        <v>This is a multile demo of some important content to remember:&lt;br&gt;Line 1&lt;br&gt;Line 2&lt;br&gt;Line etc…&lt;br&gt;Content for CT-005</v>
      </c>
      <c r="F7" s="47" t="str">
        <f t="shared" si="1"/>
        <v>This is a multile demo of some important content to remember:&lt;br&gt;Line 1&lt;br&gt;Line 2&lt;br&gt;Line etc…&lt;br&gt;Content for CT-005</v>
      </c>
      <c r="G7" s="47" t="str">
        <f t="shared" si="2"/>
        <v>This is a multile demo of some important content to remember:&lt;br&gt;Line 1&lt;br&gt;Line 2&lt;br&gt;Line etc…&lt;br&gt;Content for CT-005</v>
      </c>
      <c r="H7" s="47" t="str">
        <f t="shared" si="3"/>
        <v>This is a multile demo of some important content to remember:&lt;br&gt;Line 1&lt;br&gt;Line 2&lt;br&gt;Line etc…&lt;br&gt;Content for CT-005</v>
      </c>
      <c r="I7" s="47" t="str">
        <f t="shared" si="4"/>
        <v>This is a multile demo of some important content to remember:&lt;br&gt;Line 1&lt;br&gt;Line 2&lt;br&gt;Line etc…&lt;br&gt;Content for CT-005</v>
      </c>
      <c r="J7" s="47" t="str">
        <f t="shared" si="5"/>
        <v>This is a multile demo of some important content to remember:&lt;br&gt;Line 1&lt;br&gt;Line 2&lt;br&gt;Line etc…&lt;br&gt;Content for CT-005</v>
      </c>
      <c r="K7" s="47" t="str">
        <f t="shared" si="6"/>
        <v>This is a multile demo of some important content to remember:&lt;br&gt;Line 1&lt;br&gt;Line 2&lt;br&gt;Line etc…&lt;br&gt;Content for CT-005</v>
      </c>
      <c r="L7" s="47" t="str">
        <f t="shared" si="7"/>
        <v>This is a multile demo of some important content to remember:&lt;br&gt;Line 1&lt;br&gt;Line 2&lt;br&gt;Line etc…&lt;br&gt;Content for CT-005</v>
      </c>
      <c r="W7" s="43" t="str">
        <f t="shared" si="8"/>
        <v>`CT-005`</v>
      </c>
      <c r="X7" s="43" t="str">
        <f t="shared" si="9"/>
        <v>`Demo CT-005`</v>
      </c>
      <c r="Y7" s="43" t="str">
        <f t="shared" si="10"/>
        <v>`This is a multile demo of some important content to remember:&lt;br&gt;Line 1&lt;br&gt;Line 2&lt;br&gt;Line etc…&lt;br&gt;Content for CT-005`</v>
      </c>
      <c r="Z7" s="43" t="str">
        <f t="shared" si="11"/>
        <v>[`CT-005`, `Demo CT-005`, `This is a multile demo of some important content to remember:&lt;br&gt;Line 1&lt;br&gt;Line 2&lt;br&gt;Line etc…&lt;br&gt;Content for CT-005`]</v>
      </c>
    </row>
    <row r="8" spans="1:68" ht="40" customHeight="1">
      <c r="A8" s="31" t="s">
        <v>118</v>
      </c>
      <c r="B8" s="55" t="str">
        <f t="shared" si="13"/>
        <v>Demo CT-006</v>
      </c>
      <c r="C8" s="56" t="str">
        <f t="shared" si="12"/>
        <v>This is a multile demo of some important content to remember:
Line 1
Line 2
Line etc…
Content for CT-006</v>
      </c>
      <c r="E8" s="47" t="str">
        <f t="shared" si="0"/>
        <v>This is a multile demo of some important content to remember:&lt;br&gt;Line 1&lt;br&gt;Line 2&lt;br&gt;Line etc…&lt;br&gt;Content for CT-006</v>
      </c>
      <c r="F8" s="47" t="str">
        <f t="shared" si="1"/>
        <v>This is a multile demo of some important content to remember:&lt;br&gt;Line 1&lt;br&gt;Line 2&lt;br&gt;Line etc…&lt;br&gt;Content for CT-006</v>
      </c>
      <c r="G8" s="47" t="str">
        <f t="shared" si="2"/>
        <v>This is a multile demo of some important content to remember:&lt;br&gt;Line 1&lt;br&gt;Line 2&lt;br&gt;Line etc…&lt;br&gt;Content for CT-006</v>
      </c>
      <c r="H8" s="47" t="str">
        <f t="shared" si="3"/>
        <v>This is a multile demo of some important content to remember:&lt;br&gt;Line 1&lt;br&gt;Line 2&lt;br&gt;Line etc…&lt;br&gt;Content for CT-006</v>
      </c>
      <c r="I8" s="47" t="str">
        <f t="shared" si="4"/>
        <v>This is a multile demo of some important content to remember:&lt;br&gt;Line 1&lt;br&gt;Line 2&lt;br&gt;Line etc…&lt;br&gt;Content for CT-006</v>
      </c>
      <c r="J8" s="47" t="str">
        <f t="shared" si="5"/>
        <v>This is a multile demo of some important content to remember:&lt;br&gt;Line 1&lt;br&gt;Line 2&lt;br&gt;Line etc…&lt;br&gt;Content for CT-006</v>
      </c>
      <c r="K8" s="47" t="str">
        <f t="shared" si="6"/>
        <v>This is a multile demo of some important content to remember:&lt;br&gt;Line 1&lt;br&gt;Line 2&lt;br&gt;Line etc…&lt;br&gt;Content for CT-006</v>
      </c>
      <c r="L8" s="47" t="str">
        <f t="shared" si="7"/>
        <v>This is a multile demo of some important content to remember:&lt;br&gt;Line 1&lt;br&gt;Line 2&lt;br&gt;Line etc…&lt;br&gt;Content for CT-006</v>
      </c>
      <c r="W8" s="43" t="str">
        <f t="shared" si="8"/>
        <v>`CT-006`</v>
      </c>
      <c r="X8" s="43" t="str">
        <f t="shared" si="9"/>
        <v>`Demo CT-006`</v>
      </c>
      <c r="Y8" s="43" t="str">
        <f t="shared" si="10"/>
        <v>`This is a multile demo of some important content to remember:&lt;br&gt;Line 1&lt;br&gt;Line 2&lt;br&gt;Line etc…&lt;br&gt;Content for CT-006`</v>
      </c>
      <c r="Z8" s="43" t="str">
        <f t="shared" si="11"/>
        <v>[`CT-006`, `Demo CT-006`, `This is a multile demo of some important content to remember:&lt;br&gt;Line 1&lt;br&gt;Line 2&lt;br&gt;Line etc…&lt;br&gt;Content for CT-006`]</v>
      </c>
    </row>
    <row r="9" spans="1:68" ht="40" customHeight="1">
      <c r="A9" s="31" t="s">
        <v>119</v>
      </c>
      <c r="B9" s="55" t="str">
        <f t="shared" si="13"/>
        <v>Demo CT-007</v>
      </c>
      <c r="C9" s="56" t="str">
        <f t="shared" si="12"/>
        <v>This is a multile demo of some important content to remember:
Line 1
Line 2
Line etc…
Content for CT-007</v>
      </c>
      <c r="E9" s="47" t="str">
        <f t="shared" si="0"/>
        <v>This is a multile demo of some important content to remember:&lt;br&gt;Line 1&lt;br&gt;Line 2&lt;br&gt;Line etc…&lt;br&gt;Content for CT-007</v>
      </c>
      <c r="F9" s="47" t="str">
        <f t="shared" si="1"/>
        <v>This is a multile demo of some important content to remember:&lt;br&gt;Line 1&lt;br&gt;Line 2&lt;br&gt;Line etc…&lt;br&gt;Content for CT-007</v>
      </c>
      <c r="G9" s="47" t="str">
        <f t="shared" si="2"/>
        <v>This is a multile demo of some important content to remember:&lt;br&gt;Line 1&lt;br&gt;Line 2&lt;br&gt;Line etc…&lt;br&gt;Content for CT-007</v>
      </c>
      <c r="H9" s="47" t="str">
        <f t="shared" si="3"/>
        <v>This is a multile demo of some important content to remember:&lt;br&gt;Line 1&lt;br&gt;Line 2&lt;br&gt;Line etc…&lt;br&gt;Content for CT-007</v>
      </c>
      <c r="I9" s="47" t="str">
        <f t="shared" si="4"/>
        <v>This is a multile demo of some important content to remember:&lt;br&gt;Line 1&lt;br&gt;Line 2&lt;br&gt;Line etc…&lt;br&gt;Content for CT-007</v>
      </c>
      <c r="J9" s="47" t="str">
        <f t="shared" si="5"/>
        <v>This is a multile demo of some important content to remember:&lt;br&gt;Line 1&lt;br&gt;Line 2&lt;br&gt;Line etc…&lt;br&gt;Content for CT-007</v>
      </c>
      <c r="K9" s="47" t="str">
        <f t="shared" si="6"/>
        <v>This is a multile demo of some important content to remember:&lt;br&gt;Line 1&lt;br&gt;Line 2&lt;br&gt;Line etc…&lt;br&gt;Content for CT-007</v>
      </c>
      <c r="L9" s="47" t="str">
        <f t="shared" si="7"/>
        <v>This is a multile demo of some important content to remember:&lt;br&gt;Line 1&lt;br&gt;Line 2&lt;br&gt;Line etc…&lt;br&gt;Content for CT-007</v>
      </c>
      <c r="W9" s="43" t="str">
        <f t="shared" si="8"/>
        <v>`CT-007`</v>
      </c>
      <c r="X9" s="43" t="str">
        <f t="shared" si="9"/>
        <v>`Demo CT-007`</v>
      </c>
      <c r="Y9" s="43" t="str">
        <f t="shared" si="10"/>
        <v>`This is a multile demo of some important content to remember:&lt;br&gt;Line 1&lt;br&gt;Line 2&lt;br&gt;Line etc…&lt;br&gt;Content for CT-007`</v>
      </c>
      <c r="Z9" s="43" t="str">
        <f t="shared" si="11"/>
        <v>[`CT-007`, `Demo CT-007`, `This is a multile demo of some important content to remember:&lt;br&gt;Line 1&lt;br&gt;Line 2&lt;br&gt;Line etc…&lt;br&gt;Content for CT-007`]</v>
      </c>
    </row>
    <row r="10" spans="1:68" ht="40" customHeight="1">
      <c r="A10" s="31" t="s">
        <v>120</v>
      </c>
      <c r="B10" s="55" t="str">
        <f t="shared" si="13"/>
        <v>Demo CT-008</v>
      </c>
      <c r="C10" s="56" t="str">
        <f t="shared" si="12"/>
        <v>This is a multile demo of some important content to remember:
Line 1
Line 2
Line etc…
Content for CT-008</v>
      </c>
      <c r="E10" s="47" t="str">
        <f t="shared" si="0"/>
        <v>This is a multile demo of some important content to remember:&lt;br&gt;Line 1&lt;br&gt;Line 2&lt;br&gt;Line etc…&lt;br&gt;Content for CT-008</v>
      </c>
      <c r="F10" s="47" t="str">
        <f t="shared" si="1"/>
        <v>This is a multile demo of some important content to remember:&lt;br&gt;Line 1&lt;br&gt;Line 2&lt;br&gt;Line etc…&lt;br&gt;Content for CT-008</v>
      </c>
      <c r="G10" s="47" t="str">
        <f t="shared" si="2"/>
        <v>This is a multile demo of some important content to remember:&lt;br&gt;Line 1&lt;br&gt;Line 2&lt;br&gt;Line etc…&lt;br&gt;Content for CT-008</v>
      </c>
      <c r="H10" s="47" t="str">
        <f t="shared" si="3"/>
        <v>This is a multile demo of some important content to remember:&lt;br&gt;Line 1&lt;br&gt;Line 2&lt;br&gt;Line etc…&lt;br&gt;Content for CT-008</v>
      </c>
      <c r="I10" s="47" t="str">
        <f t="shared" si="4"/>
        <v>This is a multile demo of some important content to remember:&lt;br&gt;Line 1&lt;br&gt;Line 2&lt;br&gt;Line etc…&lt;br&gt;Content for CT-008</v>
      </c>
      <c r="J10" s="47" t="str">
        <f t="shared" si="5"/>
        <v>This is a multile demo of some important content to remember:&lt;br&gt;Line 1&lt;br&gt;Line 2&lt;br&gt;Line etc…&lt;br&gt;Content for CT-008</v>
      </c>
      <c r="K10" s="47" t="str">
        <f t="shared" si="6"/>
        <v>This is a multile demo of some important content to remember:&lt;br&gt;Line 1&lt;br&gt;Line 2&lt;br&gt;Line etc…&lt;br&gt;Content for CT-008</v>
      </c>
      <c r="L10" s="47" t="str">
        <f t="shared" si="7"/>
        <v>This is a multile demo of some important content to remember:&lt;br&gt;Line 1&lt;br&gt;Line 2&lt;br&gt;Line etc…&lt;br&gt;Content for CT-008</v>
      </c>
      <c r="W10" s="43" t="str">
        <f t="shared" si="8"/>
        <v>`CT-008`</v>
      </c>
      <c r="X10" s="43" t="str">
        <f t="shared" si="9"/>
        <v>`Demo CT-008`</v>
      </c>
      <c r="Y10" s="43" t="str">
        <f t="shared" si="10"/>
        <v>`This is a multile demo of some important content to remember:&lt;br&gt;Line 1&lt;br&gt;Line 2&lt;br&gt;Line etc…&lt;br&gt;Content for CT-008`</v>
      </c>
      <c r="Z10" s="43" t="str">
        <f t="shared" si="11"/>
        <v>[`CT-008`, `Demo CT-008`, `This is a multile demo of some important content to remember:&lt;br&gt;Line 1&lt;br&gt;Line 2&lt;br&gt;Line etc…&lt;br&gt;Content for CT-008`]</v>
      </c>
    </row>
    <row r="11" spans="1:68" ht="40" customHeight="1">
      <c r="A11" s="31" t="s">
        <v>121</v>
      </c>
      <c r="B11" s="55" t="str">
        <f t="shared" si="13"/>
        <v>Demo CT-009</v>
      </c>
      <c r="C11" s="56" t="str">
        <f t="shared" si="12"/>
        <v>This is a multile demo of some important content to remember:
Line 1
Line 2
Line etc…
Content for CT-009</v>
      </c>
      <c r="E11" s="47" t="str">
        <f t="shared" si="0"/>
        <v>This is a multile demo of some important content to remember:&lt;br&gt;Line 1&lt;br&gt;Line 2&lt;br&gt;Line etc…&lt;br&gt;Content for CT-009</v>
      </c>
      <c r="F11" s="47" t="str">
        <f t="shared" si="1"/>
        <v>This is a multile demo of some important content to remember:&lt;br&gt;Line 1&lt;br&gt;Line 2&lt;br&gt;Line etc…&lt;br&gt;Content for CT-009</v>
      </c>
      <c r="G11" s="47" t="str">
        <f t="shared" si="2"/>
        <v>This is a multile demo of some important content to remember:&lt;br&gt;Line 1&lt;br&gt;Line 2&lt;br&gt;Line etc…&lt;br&gt;Content for CT-009</v>
      </c>
      <c r="H11" s="47" t="str">
        <f t="shared" si="3"/>
        <v>This is a multile demo of some important content to remember:&lt;br&gt;Line 1&lt;br&gt;Line 2&lt;br&gt;Line etc…&lt;br&gt;Content for CT-009</v>
      </c>
      <c r="I11" s="47" t="str">
        <f t="shared" si="4"/>
        <v>This is a multile demo of some important content to remember:&lt;br&gt;Line 1&lt;br&gt;Line 2&lt;br&gt;Line etc…&lt;br&gt;Content for CT-009</v>
      </c>
      <c r="J11" s="47" t="str">
        <f t="shared" si="5"/>
        <v>This is a multile demo of some important content to remember:&lt;br&gt;Line 1&lt;br&gt;Line 2&lt;br&gt;Line etc…&lt;br&gt;Content for CT-009</v>
      </c>
      <c r="K11" s="47" t="str">
        <f t="shared" si="6"/>
        <v>This is a multile demo of some important content to remember:&lt;br&gt;Line 1&lt;br&gt;Line 2&lt;br&gt;Line etc…&lt;br&gt;Content for CT-009</v>
      </c>
      <c r="L11" s="47" t="str">
        <f t="shared" si="7"/>
        <v>This is a multile demo of some important content to remember:&lt;br&gt;Line 1&lt;br&gt;Line 2&lt;br&gt;Line etc…&lt;br&gt;Content for CT-009</v>
      </c>
      <c r="W11" s="43" t="str">
        <f t="shared" si="8"/>
        <v>`CT-009`</v>
      </c>
      <c r="X11" s="43" t="str">
        <f t="shared" si="9"/>
        <v>`Demo CT-009`</v>
      </c>
      <c r="Y11" s="43" t="str">
        <f t="shared" si="10"/>
        <v>`This is a multile demo of some important content to remember:&lt;br&gt;Line 1&lt;br&gt;Line 2&lt;br&gt;Line etc…&lt;br&gt;Content for CT-009`</v>
      </c>
      <c r="Z11" s="43" t="str">
        <f t="shared" si="11"/>
        <v>[`CT-009`, `Demo CT-009`, `This is a multile demo of some important content to remember:&lt;br&gt;Line 1&lt;br&gt;Line 2&lt;br&gt;Line etc…&lt;br&gt;Content for CT-009`]</v>
      </c>
    </row>
    <row r="12" spans="1:68" ht="40" customHeight="1">
      <c r="A12" s="31" t="s">
        <v>122</v>
      </c>
      <c r="B12" s="55" t="str">
        <f t="shared" si="13"/>
        <v>Demo CT-010</v>
      </c>
      <c r="C12" s="56" t="str">
        <f t="shared" si="12"/>
        <v>This is a multile demo of some important content to remember:
Line 1
Line 2
Line etc…
Content for CT-010</v>
      </c>
      <c r="E12" s="47" t="str">
        <f t="shared" si="0"/>
        <v>This is a multile demo of some important content to remember:&lt;br&gt;Line 1&lt;br&gt;Line 2&lt;br&gt;Line etc…&lt;br&gt;Content for CT-010</v>
      </c>
      <c r="F12" s="47" t="str">
        <f t="shared" si="1"/>
        <v>This is a multile demo of some important content to remember:&lt;br&gt;Line 1&lt;br&gt;Line 2&lt;br&gt;Line etc…&lt;br&gt;Content for CT-010</v>
      </c>
      <c r="G12" s="47" t="str">
        <f t="shared" si="2"/>
        <v>This is a multile demo of some important content to remember:&lt;br&gt;Line 1&lt;br&gt;Line 2&lt;br&gt;Line etc…&lt;br&gt;Content for CT-010</v>
      </c>
      <c r="H12" s="47" t="str">
        <f t="shared" si="3"/>
        <v>This is a multile demo of some important content to remember:&lt;br&gt;Line 1&lt;br&gt;Line 2&lt;br&gt;Line etc…&lt;br&gt;Content for CT-010</v>
      </c>
      <c r="I12" s="47" t="str">
        <f t="shared" si="4"/>
        <v>This is a multile demo of some important content to remember:&lt;br&gt;Line 1&lt;br&gt;Line 2&lt;br&gt;Line etc…&lt;br&gt;Content for CT-010</v>
      </c>
      <c r="J12" s="47" t="str">
        <f t="shared" si="5"/>
        <v>This is a multile demo of some important content to remember:&lt;br&gt;Line 1&lt;br&gt;Line 2&lt;br&gt;Line etc…&lt;br&gt;Content for CT-010</v>
      </c>
      <c r="K12" s="47" t="str">
        <f t="shared" si="6"/>
        <v>This is a multile demo of some important content to remember:&lt;br&gt;Line 1&lt;br&gt;Line 2&lt;br&gt;Line etc…&lt;br&gt;Content for CT-010</v>
      </c>
      <c r="L12" s="47" t="str">
        <f t="shared" si="7"/>
        <v>This is a multile demo of some important content to remember:&lt;br&gt;Line 1&lt;br&gt;Line 2&lt;br&gt;Line etc…&lt;br&gt;Content for CT-010</v>
      </c>
      <c r="W12" s="43" t="str">
        <f t="shared" si="8"/>
        <v>`CT-010`</v>
      </c>
      <c r="X12" s="43" t="str">
        <f t="shared" si="9"/>
        <v>`Demo CT-010`</v>
      </c>
      <c r="Y12" s="43" t="str">
        <f t="shared" si="10"/>
        <v>`This is a multile demo of some important content to remember:&lt;br&gt;Line 1&lt;br&gt;Line 2&lt;br&gt;Line etc…&lt;br&gt;Content for CT-010`</v>
      </c>
      <c r="Z12" s="43" t="str">
        <f t="shared" si="11"/>
        <v>[`CT-010`, `Demo CT-010`, `This is a multile demo of some important content to remember:&lt;br&gt;Line 1&lt;br&gt;Line 2&lt;br&gt;Line etc…&lt;br&gt;Content for CT-010`]</v>
      </c>
    </row>
    <row r="13" spans="1:68" ht="40" customHeight="1">
      <c r="A13" s="31" t="s">
        <v>123</v>
      </c>
      <c r="B13" s="55" t="str">
        <f t="shared" si="13"/>
        <v>Demo CT-011</v>
      </c>
      <c r="C13" s="56" t="str">
        <f t="shared" si="12"/>
        <v>This is a multile demo of some important content to remember:
Line 1
Line 2
Line etc…
Content for CT-011</v>
      </c>
      <c r="E13" s="47" t="str">
        <f t="shared" si="0"/>
        <v>This is a multile demo of some important content to remember:&lt;br&gt;Line 1&lt;br&gt;Line 2&lt;br&gt;Line etc…&lt;br&gt;Content for CT-011</v>
      </c>
      <c r="F13" s="47" t="str">
        <f t="shared" si="1"/>
        <v>This is a multile demo of some important content to remember:&lt;br&gt;Line 1&lt;br&gt;Line 2&lt;br&gt;Line etc…&lt;br&gt;Content for CT-011</v>
      </c>
      <c r="G13" s="47" t="str">
        <f t="shared" si="2"/>
        <v>This is a multile demo of some important content to remember:&lt;br&gt;Line 1&lt;br&gt;Line 2&lt;br&gt;Line etc…&lt;br&gt;Content for CT-011</v>
      </c>
      <c r="H13" s="47" t="str">
        <f t="shared" si="3"/>
        <v>This is a multile demo of some important content to remember:&lt;br&gt;Line 1&lt;br&gt;Line 2&lt;br&gt;Line etc…&lt;br&gt;Content for CT-011</v>
      </c>
      <c r="I13" s="47" t="str">
        <f t="shared" si="4"/>
        <v>This is a multile demo of some important content to remember:&lt;br&gt;Line 1&lt;br&gt;Line 2&lt;br&gt;Line etc…&lt;br&gt;Content for CT-011</v>
      </c>
      <c r="J13" s="47" t="str">
        <f t="shared" si="5"/>
        <v>This is a multile demo of some important content to remember:&lt;br&gt;Line 1&lt;br&gt;Line 2&lt;br&gt;Line etc…&lt;br&gt;Content for CT-011</v>
      </c>
      <c r="K13" s="47" t="str">
        <f t="shared" si="6"/>
        <v>This is a multile demo of some important content to remember:&lt;br&gt;Line 1&lt;br&gt;Line 2&lt;br&gt;Line etc…&lt;br&gt;Content for CT-011</v>
      </c>
      <c r="L13" s="47" t="str">
        <f t="shared" si="7"/>
        <v>This is a multile demo of some important content to remember:&lt;br&gt;Line 1&lt;br&gt;Line 2&lt;br&gt;Line etc…&lt;br&gt;Content for CT-011</v>
      </c>
      <c r="W13" s="43" t="str">
        <f t="shared" si="8"/>
        <v>`CT-011`</v>
      </c>
      <c r="X13" s="43" t="str">
        <f t="shared" si="9"/>
        <v>`Demo CT-011`</v>
      </c>
      <c r="Y13" s="43" t="str">
        <f t="shared" si="10"/>
        <v>`This is a multile demo of some important content to remember:&lt;br&gt;Line 1&lt;br&gt;Line 2&lt;br&gt;Line etc…&lt;br&gt;Content for CT-011`</v>
      </c>
      <c r="Z13" s="43" t="str">
        <f t="shared" si="11"/>
        <v>[`CT-011`, `Demo CT-011`, `This is a multile demo of some important content to remember:&lt;br&gt;Line 1&lt;br&gt;Line 2&lt;br&gt;Line etc…&lt;br&gt;Content for CT-011`]</v>
      </c>
    </row>
    <row r="14" spans="1:68" ht="40" customHeight="1">
      <c r="A14" s="31" t="s">
        <v>124</v>
      </c>
      <c r="B14" s="55" t="str">
        <f t="shared" si="13"/>
        <v>Demo CT-012</v>
      </c>
      <c r="C14" s="56" t="str">
        <f t="shared" si="12"/>
        <v>This is a multile demo of some important content to remember:
Line 1
Line 2
Line etc…
Content for CT-012</v>
      </c>
      <c r="E14" s="47" t="str">
        <f t="shared" si="0"/>
        <v>This is a multile demo of some important content to remember:&lt;br&gt;Line 1&lt;br&gt;Line 2&lt;br&gt;Line etc…&lt;br&gt;Content for CT-012</v>
      </c>
      <c r="F14" s="47" t="str">
        <f t="shared" si="1"/>
        <v>This is a multile demo of some important content to remember:&lt;br&gt;Line 1&lt;br&gt;Line 2&lt;br&gt;Line etc…&lt;br&gt;Content for CT-012</v>
      </c>
      <c r="G14" s="47" t="str">
        <f t="shared" si="2"/>
        <v>This is a multile demo of some important content to remember:&lt;br&gt;Line 1&lt;br&gt;Line 2&lt;br&gt;Line etc…&lt;br&gt;Content for CT-012</v>
      </c>
      <c r="H14" s="47" t="str">
        <f t="shared" si="3"/>
        <v>This is a multile demo of some important content to remember:&lt;br&gt;Line 1&lt;br&gt;Line 2&lt;br&gt;Line etc…&lt;br&gt;Content for CT-012</v>
      </c>
      <c r="I14" s="47" t="str">
        <f t="shared" si="4"/>
        <v>This is a multile demo of some important content to remember:&lt;br&gt;Line 1&lt;br&gt;Line 2&lt;br&gt;Line etc…&lt;br&gt;Content for CT-012</v>
      </c>
      <c r="J14" s="47" t="str">
        <f t="shared" si="5"/>
        <v>This is a multile demo of some important content to remember:&lt;br&gt;Line 1&lt;br&gt;Line 2&lt;br&gt;Line etc…&lt;br&gt;Content for CT-012</v>
      </c>
      <c r="K14" s="47" t="str">
        <f t="shared" si="6"/>
        <v>This is a multile demo of some important content to remember:&lt;br&gt;Line 1&lt;br&gt;Line 2&lt;br&gt;Line etc…&lt;br&gt;Content for CT-012</v>
      </c>
      <c r="L14" s="47" t="str">
        <f t="shared" si="7"/>
        <v>This is a multile demo of some important content to remember:&lt;br&gt;Line 1&lt;br&gt;Line 2&lt;br&gt;Line etc…&lt;br&gt;Content for CT-012</v>
      </c>
      <c r="W14" s="43" t="str">
        <f t="shared" si="8"/>
        <v>`CT-012`</v>
      </c>
      <c r="X14" s="43" t="str">
        <f t="shared" si="9"/>
        <v>`Demo CT-012`</v>
      </c>
      <c r="Y14" s="43" t="str">
        <f t="shared" si="10"/>
        <v>`This is a multile demo of some important content to remember:&lt;br&gt;Line 1&lt;br&gt;Line 2&lt;br&gt;Line etc…&lt;br&gt;Content for CT-012`</v>
      </c>
      <c r="Z14" s="43" t="str">
        <f t="shared" si="11"/>
        <v>[`CT-012`, `Demo CT-012`, `This is a multile demo of some important content to remember:&lt;br&gt;Line 1&lt;br&gt;Line 2&lt;br&gt;Line etc…&lt;br&gt;Content for CT-012`]</v>
      </c>
    </row>
    <row r="15" spans="1:68" ht="40" customHeight="1">
      <c r="A15" s="31" t="s">
        <v>125</v>
      </c>
      <c r="B15" s="55" t="str">
        <f t="shared" si="13"/>
        <v>Demo CT-013</v>
      </c>
      <c r="C15" s="56" t="str">
        <f t="shared" si="12"/>
        <v>This is a multile demo of some important content to remember:
Line 1
Line 2
Line etc…
Content for CT-013</v>
      </c>
      <c r="E15" s="47" t="str">
        <f t="shared" si="0"/>
        <v>This is a multile demo of some important content to remember:&lt;br&gt;Line 1&lt;br&gt;Line 2&lt;br&gt;Line etc…&lt;br&gt;Content for CT-013</v>
      </c>
      <c r="F15" s="47" t="str">
        <f t="shared" si="1"/>
        <v>This is a multile demo of some important content to remember:&lt;br&gt;Line 1&lt;br&gt;Line 2&lt;br&gt;Line etc…&lt;br&gt;Content for CT-013</v>
      </c>
      <c r="G15" s="47" t="str">
        <f t="shared" si="2"/>
        <v>This is a multile demo of some important content to remember:&lt;br&gt;Line 1&lt;br&gt;Line 2&lt;br&gt;Line etc…&lt;br&gt;Content for CT-013</v>
      </c>
      <c r="H15" s="47" t="str">
        <f t="shared" si="3"/>
        <v>This is a multile demo of some important content to remember:&lt;br&gt;Line 1&lt;br&gt;Line 2&lt;br&gt;Line etc…&lt;br&gt;Content for CT-013</v>
      </c>
      <c r="I15" s="47" t="str">
        <f t="shared" si="4"/>
        <v>This is a multile demo of some important content to remember:&lt;br&gt;Line 1&lt;br&gt;Line 2&lt;br&gt;Line etc…&lt;br&gt;Content for CT-013</v>
      </c>
      <c r="J15" s="47" t="str">
        <f t="shared" si="5"/>
        <v>This is a multile demo of some important content to remember:&lt;br&gt;Line 1&lt;br&gt;Line 2&lt;br&gt;Line etc…&lt;br&gt;Content for CT-013</v>
      </c>
      <c r="K15" s="47" t="str">
        <f t="shared" si="6"/>
        <v>This is a multile demo of some important content to remember:&lt;br&gt;Line 1&lt;br&gt;Line 2&lt;br&gt;Line etc…&lt;br&gt;Content for CT-013</v>
      </c>
      <c r="L15" s="47" t="str">
        <f t="shared" si="7"/>
        <v>This is a multile demo of some important content to remember:&lt;br&gt;Line 1&lt;br&gt;Line 2&lt;br&gt;Line etc…&lt;br&gt;Content for CT-013</v>
      </c>
      <c r="W15" s="43" t="str">
        <f t="shared" si="8"/>
        <v>`CT-013`</v>
      </c>
      <c r="X15" s="43" t="str">
        <f t="shared" si="9"/>
        <v>`Demo CT-013`</v>
      </c>
      <c r="Y15" s="43" t="str">
        <f t="shared" si="10"/>
        <v>`This is a multile demo of some important content to remember:&lt;br&gt;Line 1&lt;br&gt;Line 2&lt;br&gt;Line etc…&lt;br&gt;Content for CT-013`</v>
      </c>
      <c r="Z15" s="43" t="str">
        <f t="shared" si="11"/>
        <v>[`CT-013`, `Demo CT-013`, `This is a multile demo of some important content to remember:&lt;br&gt;Line 1&lt;br&gt;Line 2&lt;br&gt;Line etc…&lt;br&gt;Content for CT-013`]</v>
      </c>
    </row>
    <row r="16" spans="1:68" ht="40" customHeight="1">
      <c r="A16" s="31" t="s">
        <v>126</v>
      </c>
      <c r="B16" s="55" t="str">
        <f t="shared" si="13"/>
        <v>Demo CT-014</v>
      </c>
      <c r="C16" s="56" t="str">
        <f t="shared" si="12"/>
        <v>This is a multile demo of some important content to remember:
Line 1
Line 2
Line etc…
Content for CT-014</v>
      </c>
      <c r="E16" s="47" t="str">
        <f t="shared" si="0"/>
        <v>This is a multile demo of some important content to remember:&lt;br&gt;Line 1&lt;br&gt;Line 2&lt;br&gt;Line etc…&lt;br&gt;Content for CT-014</v>
      </c>
      <c r="F16" s="47" t="str">
        <f t="shared" si="1"/>
        <v>This is a multile demo of some important content to remember:&lt;br&gt;Line 1&lt;br&gt;Line 2&lt;br&gt;Line etc…&lt;br&gt;Content for CT-014</v>
      </c>
      <c r="G16" s="47" t="str">
        <f t="shared" si="2"/>
        <v>This is a multile demo of some important content to remember:&lt;br&gt;Line 1&lt;br&gt;Line 2&lt;br&gt;Line etc…&lt;br&gt;Content for CT-014</v>
      </c>
      <c r="H16" s="47" t="str">
        <f t="shared" si="3"/>
        <v>This is a multile demo of some important content to remember:&lt;br&gt;Line 1&lt;br&gt;Line 2&lt;br&gt;Line etc…&lt;br&gt;Content for CT-014</v>
      </c>
      <c r="I16" s="47" t="str">
        <f t="shared" si="4"/>
        <v>This is a multile demo of some important content to remember:&lt;br&gt;Line 1&lt;br&gt;Line 2&lt;br&gt;Line etc…&lt;br&gt;Content for CT-014</v>
      </c>
      <c r="J16" s="47" t="str">
        <f t="shared" si="5"/>
        <v>This is a multile demo of some important content to remember:&lt;br&gt;Line 1&lt;br&gt;Line 2&lt;br&gt;Line etc…&lt;br&gt;Content for CT-014</v>
      </c>
      <c r="K16" s="47" t="str">
        <f t="shared" si="6"/>
        <v>This is a multile demo of some important content to remember:&lt;br&gt;Line 1&lt;br&gt;Line 2&lt;br&gt;Line etc…&lt;br&gt;Content for CT-014</v>
      </c>
      <c r="L16" s="47" t="str">
        <f t="shared" si="7"/>
        <v>This is a multile demo of some important content to remember:&lt;br&gt;Line 1&lt;br&gt;Line 2&lt;br&gt;Line etc…&lt;br&gt;Content for CT-014</v>
      </c>
      <c r="W16" s="43" t="str">
        <f t="shared" si="8"/>
        <v>`CT-014`</v>
      </c>
      <c r="X16" s="43" t="str">
        <f t="shared" si="9"/>
        <v>`Demo CT-014`</v>
      </c>
      <c r="Y16" s="43" t="str">
        <f t="shared" si="10"/>
        <v>`This is a multile demo of some important content to remember:&lt;br&gt;Line 1&lt;br&gt;Line 2&lt;br&gt;Line etc…&lt;br&gt;Content for CT-014`</v>
      </c>
      <c r="Z16" s="43" t="str">
        <f t="shared" si="11"/>
        <v>[`CT-014`, `Demo CT-014`, `This is a multile demo of some important content to remember:&lt;br&gt;Line 1&lt;br&gt;Line 2&lt;br&gt;Line etc…&lt;br&gt;Content for CT-014`]</v>
      </c>
    </row>
    <row r="17" spans="1:26" ht="40" customHeight="1">
      <c r="A17" s="31" t="s">
        <v>127</v>
      </c>
      <c r="B17" s="55" t="str">
        <f>CONCATENATE("Demo ",A17)</f>
        <v>Demo CT-015</v>
      </c>
      <c r="C17" s="56" t="str">
        <f t="shared" si="12"/>
        <v>This is a multile demo of some important content to remember:
Line 1
Line 2
Line etc…
Content for CT-015</v>
      </c>
      <c r="E17" s="47" t="str">
        <f t="shared" si="0"/>
        <v>This is a multile demo of some important content to remember:&lt;br&gt;Line 1&lt;br&gt;Line 2&lt;br&gt;Line etc…&lt;br&gt;Content for CT-015</v>
      </c>
      <c r="F17" s="47" t="str">
        <f t="shared" si="1"/>
        <v>This is a multile demo of some important content to remember:&lt;br&gt;Line 1&lt;br&gt;Line 2&lt;br&gt;Line etc…&lt;br&gt;Content for CT-015</v>
      </c>
      <c r="G17" s="47" t="str">
        <f t="shared" si="2"/>
        <v>This is a multile demo of some important content to remember:&lt;br&gt;Line 1&lt;br&gt;Line 2&lt;br&gt;Line etc…&lt;br&gt;Content for CT-015</v>
      </c>
      <c r="H17" s="47" t="str">
        <f t="shared" si="3"/>
        <v>This is a multile demo of some important content to remember:&lt;br&gt;Line 1&lt;br&gt;Line 2&lt;br&gt;Line etc…&lt;br&gt;Content for CT-015</v>
      </c>
      <c r="I17" s="47" t="str">
        <f t="shared" si="4"/>
        <v>This is a multile demo of some important content to remember:&lt;br&gt;Line 1&lt;br&gt;Line 2&lt;br&gt;Line etc…&lt;br&gt;Content for CT-015</v>
      </c>
      <c r="J17" s="47" t="str">
        <f t="shared" si="5"/>
        <v>This is a multile demo of some important content to remember:&lt;br&gt;Line 1&lt;br&gt;Line 2&lt;br&gt;Line etc…&lt;br&gt;Content for CT-015</v>
      </c>
      <c r="K17" s="47" t="str">
        <f t="shared" si="6"/>
        <v>This is a multile demo of some important content to remember:&lt;br&gt;Line 1&lt;br&gt;Line 2&lt;br&gt;Line etc…&lt;br&gt;Content for CT-015</v>
      </c>
      <c r="L17" s="47" t="str">
        <f t="shared" si="7"/>
        <v>This is a multile demo of some important content to remember:&lt;br&gt;Line 1&lt;br&gt;Line 2&lt;br&gt;Line etc…&lt;br&gt;Content for CT-015</v>
      </c>
      <c r="W17" s="43" t="str">
        <f t="shared" si="8"/>
        <v>`CT-015`</v>
      </c>
      <c r="X17" s="43" t="str">
        <f t="shared" si="9"/>
        <v>`Demo CT-015`</v>
      </c>
      <c r="Y17" s="43" t="str">
        <f t="shared" si="10"/>
        <v>`This is a multile demo of some important content to remember:&lt;br&gt;Line 1&lt;br&gt;Line 2&lt;br&gt;Line etc…&lt;br&gt;Content for CT-015`</v>
      </c>
      <c r="Z17" s="43" t="str">
        <f t="shared" si="11"/>
        <v>[`CT-015`, `Demo CT-015`, `This is a multile demo of some important content to remember:&lt;br&gt;Line 1&lt;br&gt;Line 2&lt;br&gt;Line etc…&lt;br&gt;Content for CT-015`]</v>
      </c>
    </row>
    <row r="18" spans="1:26" ht="40" customHeight="1">
      <c r="A18" s="31" t="s">
        <v>128</v>
      </c>
      <c r="B18" s="41"/>
      <c r="C18" s="37"/>
      <c r="E18" s="47" t="str">
        <f t="shared" si="0"/>
        <v/>
      </c>
      <c r="F18" s="47" t="str">
        <f t="shared" si="1"/>
        <v/>
      </c>
      <c r="G18" s="47" t="str">
        <f t="shared" si="2"/>
        <v/>
      </c>
      <c r="H18" s="47" t="str">
        <f t="shared" si="3"/>
        <v/>
      </c>
      <c r="I18" s="47" t="str">
        <f t="shared" si="4"/>
        <v/>
      </c>
      <c r="J18" s="47" t="str">
        <f t="shared" si="5"/>
        <v/>
      </c>
      <c r="K18" s="47" t="str">
        <f t="shared" si="6"/>
        <v/>
      </c>
      <c r="L18" s="47" t="str">
        <f t="shared" si="7"/>
        <v/>
      </c>
      <c r="W18" s="43" t="str">
        <f t="shared" si="8"/>
        <v>`CT-016`</v>
      </c>
      <c r="X18" s="43" t="str">
        <f t="shared" si="9"/>
        <v>null</v>
      </c>
      <c r="Y18" s="43" t="str">
        <f t="shared" si="10"/>
        <v>null</v>
      </c>
      <c r="Z18" s="43" t="str">
        <f t="shared" si="11"/>
        <v/>
      </c>
    </row>
    <row r="19" spans="1:26" ht="40" customHeight="1">
      <c r="A19" s="31" t="s">
        <v>129</v>
      </c>
      <c r="B19" s="41"/>
      <c r="C19" s="37"/>
      <c r="E19" s="47" t="str">
        <f t="shared" si="0"/>
        <v/>
      </c>
      <c r="F19" s="47" t="str">
        <f t="shared" si="1"/>
        <v/>
      </c>
      <c r="G19" s="47" t="str">
        <f t="shared" si="2"/>
        <v/>
      </c>
      <c r="H19" s="47" t="str">
        <f t="shared" si="3"/>
        <v/>
      </c>
      <c r="I19" s="47" t="str">
        <f t="shared" si="4"/>
        <v/>
      </c>
      <c r="J19" s="47" t="str">
        <f t="shared" si="5"/>
        <v/>
      </c>
      <c r="K19" s="47" t="str">
        <f t="shared" si="6"/>
        <v/>
      </c>
      <c r="L19" s="47" t="str">
        <f t="shared" si="7"/>
        <v/>
      </c>
      <c r="W19" s="43" t="str">
        <f t="shared" si="8"/>
        <v>`CT-017`</v>
      </c>
      <c r="X19" s="43" t="str">
        <f t="shared" si="9"/>
        <v>null</v>
      </c>
      <c r="Y19" s="43" t="str">
        <f t="shared" si="10"/>
        <v>null</v>
      </c>
      <c r="Z19" s="43" t="str">
        <f t="shared" si="11"/>
        <v/>
      </c>
    </row>
    <row r="20" spans="1:26" ht="40" customHeight="1">
      <c r="A20" s="31" t="s">
        <v>130</v>
      </c>
      <c r="B20" s="41"/>
      <c r="C20" s="37"/>
      <c r="E20" s="47" t="str">
        <f t="shared" si="0"/>
        <v/>
      </c>
      <c r="F20" s="47" t="str">
        <f t="shared" si="1"/>
        <v/>
      </c>
      <c r="G20" s="47" t="str">
        <f t="shared" si="2"/>
        <v/>
      </c>
      <c r="H20" s="47" t="str">
        <f t="shared" si="3"/>
        <v/>
      </c>
      <c r="I20" s="47" t="str">
        <f t="shared" si="4"/>
        <v/>
      </c>
      <c r="J20" s="47" t="str">
        <f t="shared" si="5"/>
        <v/>
      </c>
      <c r="K20" s="47" t="str">
        <f t="shared" si="6"/>
        <v/>
      </c>
      <c r="L20" s="47" t="str">
        <f t="shared" si="7"/>
        <v/>
      </c>
      <c r="W20" s="43" t="str">
        <f t="shared" si="8"/>
        <v>`CT-018`</v>
      </c>
      <c r="X20" s="43" t="str">
        <f t="shared" si="9"/>
        <v>null</v>
      </c>
      <c r="Y20" s="43" t="str">
        <f t="shared" si="10"/>
        <v>null</v>
      </c>
      <c r="Z20" s="43" t="str">
        <f t="shared" si="11"/>
        <v/>
      </c>
    </row>
    <row r="21" spans="1:26" ht="40" customHeight="1">
      <c r="A21" s="31" t="s">
        <v>131</v>
      </c>
      <c r="B21" s="41"/>
      <c r="C21" s="37"/>
      <c r="E21" s="47" t="str">
        <f t="shared" si="0"/>
        <v/>
      </c>
      <c r="F21" s="47" t="str">
        <f t="shared" si="1"/>
        <v/>
      </c>
      <c r="G21" s="47" t="str">
        <f t="shared" si="2"/>
        <v/>
      </c>
      <c r="H21" s="47" t="str">
        <f t="shared" si="3"/>
        <v/>
      </c>
      <c r="I21" s="47" t="str">
        <f t="shared" si="4"/>
        <v/>
      </c>
      <c r="J21" s="47" t="str">
        <f t="shared" si="5"/>
        <v/>
      </c>
      <c r="K21" s="47" t="str">
        <f t="shared" si="6"/>
        <v/>
      </c>
      <c r="L21" s="47" t="str">
        <f t="shared" si="7"/>
        <v/>
      </c>
      <c r="W21" s="43" t="str">
        <f t="shared" si="8"/>
        <v>`CT-019`</v>
      </c>
      <c r="X21" s="43" t="str">
        <f t="shared" si="9"/>
        <v>null</v>
      </c>
      <c r="Y21" s="43" t="str">
        <f t="shared" si="10"/>
        <v>null</v>
      </c>
      <c r="Z21" s="43" t="str">
        <f t="shared" si="11"/>
        <v/>
      </c>
    </row>
    <row r="22" spans="1:26" ht="40" customHeight="1">
      <c r="A22" s="31" t="s">
        <v>132</v>
      </c>
      <c r="B22" s="41"/>
      <c r="C22" s="37"/>
      <c r="E22" s="47" t="str">
        <f t="shared" si="0"/>
        <v/>
      </c>
      <c r="F22" s="47" t="str">
        <f t="shared" si="1"/>
        <v/>
      </c>
      <c r="G22" s="47" t="str">
        <f t="shared" si="2"/>
        <v/>
      </c>
      <c r="H22" s="47" t="str">
        <f t="shared" si="3"/>
        <v/>
      </c>
      <c r="I22" s="47" t="str">
        <f t="shared" si="4"/>
        <v/>
      </c>
      <c r="J22" s="47" t="str">
        <f t="shared" si="5"/>
        <v/>
      </c>
      <c r="K22" s="47" t="str">
        <f t="shared" si="6"/>
        <v/>
      </c>
      <c r="L22" s="47" t="str">
        <f t="shared" si="7"/>
        <v/>
      </c>
      <c r="W22" s="43" t="str">
        <f t="shared" si="8"/>
        <v>`CT-020`</v>
      </c>
      <c r="X22" s="43" t="str">
        <f t="shared" si="9"/>
        <v>null</v>
      </c>
      <c r="Y22" s="43" t="str">
        <f t="shared" si="10"/>
        <v>null</v>
      </c>
      <c r="Z22" s="43" t="str">
        <f t="shared" si="11"/>
        <v/>
      </c>
    </row>
    <row r="23" spans="1:26" ht="40" customHeight="1">
      <c r="A23" s="31" t="s">
        <v>133</v>
      </c>
      <c r="B23" s="41"/>
      <c r="C23" s="37"/>
      <c r="E23" s="47" t="str">
        <f t="shared" si="0"/>
        <v/>
      </c>
      <c r="F23" s="47" t="str">
        <f t="shared" si="1"/>
        <v/>
      </c>
      <c r="G23" s="47" t="str">
        <f t="shared" si="2"/>
        <v/>
      </c>
      <c r="H23" s="47" t="str">
        <f t="shared" si="3"/>
        <v/>
      </c>
      <c r="I23" s="47" t="str">
        <f t="shared" si="4"/>
        <v/>
      </c>
      <c r="J23" s="47" t="str">
        <f t="shared" si="5"/>
        <v/>
      </c>
      <c r="K23" s="47" t="str">
        <f t="shared" si="6"/>
        <v/>
      </c>
      <c r="L23" s="47" t="str">
        <f t="shared" si="7"/>
        <v/>
      </c>
      <c r="W23" s="43" t="str">
        <f t="shared" si="8"/>
        <v>`CT-021`</v>
      </c>
      <c r="X23" s="43" t="str">
        <f t="shared" si="9"/>
        <v>null</v>
      </c>
      <c r="Y23" s="43" t="str">
        <f t="shared" si="10"/>
        <v>null</v>
      </c>
      <c r="Z23" s="43" t="str">
        <f t="shared" si="11"/>
        <v/>
      </c>
    </row>
    <row r="24" spans="1:26" ht="40" customHeight="1">
      <c r="A24" s="31" t="s">
        <v>134</v>
      </c>
      <c r="B24" s="41"/>
      <c r="C24" s="37"/>
      <c r="E24" s="47" t="str">
        <f t="shared" si="0"/>
        <v/>
      </c>
      <c r="F24" s="47" t="str">
        <f t="shared" si="1"/>
        <v/>
      </c>
      <c r="G24" s="47" t="str">
        <f t="shared" si="2"/>
        <v/>
      </c>
      <c r="H24" s="47" t="str">
        <f t="shared" si="3"/>
        <v/>
      </c>
      <c r="I24" s="47" t="str">
        <f t="shared" si="4"/>
        <v/>
      </c>
      <c r="J24" s="47" t="str">
        <f t="shared" si="5"/>
        <v/>
      </c>
      <c r="K24" s="47" t="str">
        <f t="shared" si="6"/>
        <v/>
      </c>
      <c r="L24" s="47" t="str">
        <f t="shared" si="7"/>
        <v/>
      </c>
      <c r="W24" s="43" t="str">
        <f t="shared" si="8"/>
        <v>`CT-022`</v>
      </c>
      <c r="X24" s="43" t="str">
        <f t="shared" si="9"/>
        <v>null</v>
      </c>
      <c r="Y24" s="43" t="str">
        <f t="shared" si="10"/>
        <v>null</v>
      </c>
      <c r="Z24" s="43" t="str">
        <f t="shared" si="11"/>
        <v/>
      </c>
    </row>
    <row r="25" spans="1:26" ht="40" customHeight="1">
      <c r="A25" s="31" t="s">
        <v>135</v>
      </c>
      <c r="B25" s="41"/>
      <c r="C25" s="37"/>
      <c r="E25" s="47" t="str">
        <f t="shared" si="0"/>
        <v/>
      </c>
      <c r="F25" s="47" t="str">
        <f t="shared" si="1"/>
        <v/>
      </c>
      <c r="G25" s="47" t="str">
        <f t="shared" si="2"/>
        <v/>
      </c>
      <c r="H25" s="47" t="str">
        <f t="shared" si="3"/>
        <v/>
      </c>
      <c r="I25" s="47" t="str">
        <f t="shared" si="4"/>
        <v/>
      </c>
      <c r="J25" s="47" t="str">
        <f t="shared" si="5"/>
        <v/>
      </c>
      <c r="K25" s="47" t="str">
        <f t="shared" si="6"/>
        <v/>
      </c>
      <c r="L25" s="47" t="str">
        <f t="shared" si="7"/>
        <v/>
      </c>
      <c r="W25" s="43" t="str">
        <f t="shared" si="8"/>
        <v>`CT-023`</v>
      </c>
      <c r="X25" s="43" t="str">
        <f t="shared" si="9"/>
        <v>null</v>
      </c>
      <c r="Y25" s="43" t="str">
        <f t="shared" si="10"/>
        <v>null</v>
      </c>
      <c r="Z25" s="43" t="str">
        <f t="shared" si="11"/>
        <v/>
      </c>
    </row>
    <row r="26" spans="1:26" ht="40" customHeight="1">
      <c r="A26" s="31" t="s">
        <v>136</v>
      </c>
      <c r="B26" s="41"/>
      <c r="C26" s="37"/>
      <c r="E26" s="47" t="str">
        <f t="shared" si="0"/>
        <v/>
      </c>
      <c r="F26" s="47" t="str">
        <f t="shared" si="1"/>
        <v/>
      </c>
      <c r="G26" s="47" t="str">
        <f t="shared" si="2"/>
        <v/>
      </c>
      <c r="H26" s="47" t="str">
        <f t="shared" si="3"/>
        <v/>
      </c>
      <c r="I26" s="47" t="str">
        <f t="shared" si="4"/>
        <v/>
      </c>
      <c r="J26" s="47" t="str">
        <f t="shared" si="5"/>
        <v/>
      </c>
      <c r="K26" s="47" t="str">
        <f t="shared" si="6"/>
        <v/>
      </c>
      <c r="L26" s="47" t="str">
        <f t="shared" si="7"/>
        <v/>
      </c>
      <c r="W26" s="43" t="str">
        <f t="shared" si="8"/>
        <v>`CT-024`</v>
      </c>
      <c r="X26" s="43" t="str">
        <f t="shared" si="9"/>
        <v>null</v>
      </c>
      <c r="Y26" s="43" t="str">
        <f t="shared" si="10"/>
        <v>null</v>
      </c>
      <c r="Z26" s="43" t="str">
        <f t="shared" si="11"/>
        <v/>
      </c>
    </row>
    <row r="27" spans="1:26" ht="40" customHeight="1">
      <c r="A27" s="31" t="s">
        <v>137</v>
      </c>
      <c r="B27" s="41"/>
      <c r="C27" s="37"/>
      <c r="E27" s="47" t="str">
        <f t="shared" si="0"/>
        <v/>
      </c>
      <c r="F27" s="47" t="str">
        <f t="shared" si="1"/>
        <v/>
      </c>
      <c r="G27" s="47" t="str">
        <f t="shared" si="2"/>
        <v/>
      </c>
      <c r="H27" s="47" t="str">
        <f t="shared" si="3"/>
        <v/>
      </c>
      <c r="I27" s="47" t="str">
        <f t="shared" si="4"/>
        <v/>
      </c>
      <c r="J27" s="47" t="str">
        <f t="shared" si="5"/>
        <v/>
      </c>
      <c r="K27" s="47" t="str">
        <f t="shared" si="6"/>
        <v/>
      </c>
      <c r="L27" s="47" t="str">
        <f t="shared" si="7"/>
        <v/>
      </c>
      <c r="W27" s="43" t="str">
        <f t="shared" si="8"/>
        <v>`CT-025`</v>
      </c>
      <c r="X27" s="43" t="str">
        <f t="shared" si="9"/>
        <v>null</v>
      </c>
      <c r="Y27" s="43" t="str">
        <f t="shared" si="10"/>
        <v>null</v>
      </c>
      <c r="Z27" s="43" t="str">
        <f t="shared" si="11"/>
        <v/>
      </c>
    </row>
    <row r="28" spans="1:26" ht="40" customHeight="1">
      <c r="A28" s="31" t="s">
        <v>138</v>
      </c>
      <c r="B28" s="41"/>
      <c r="C28" s="37"/>
      <c r="E28" s="47" t="str">
        <f t="shared" si="0"/>
        <v/>
      </c>
      <c r="F28" s="47" t="str">
        <f t="shared" si="1"/>
        <v/>
      </c>
      <c r="G28" s="47" t="str">
        <f t="shared" si="2"/>
        <v/>
      </c>
      <c r="H28" s="47" t="str">
        <f t="shared" si="3"/>
        <v/>
      </c>
      <c r="I28" s="47" t="str">
        <f t="shared" si="4"/>
        <v/>
      </c>
      <c r="J28" s="47" t="str">
        <f t="shared" si="5"/>
        <v/>
      </c>
      <c r="K28" s="47" t="str">
        <f t="shared" si="6"/>
        <v/>
      </c>
      <c r="L28" s="47" t="str">
        <f t="shared" si="7"/>
        <v/>
      </c>
      <c r="W28" s="43" t="str">
        <f t="shared" si="8"/>
        <v>`CT-026`</v>
      </c>
      <c r="X28" s="43" t="str">
        <f t="shared" si="9"/>
        <v>null</v>
      </c>
      <c r="Y28" s="43" t="str">
        <f t="shared" si="10"/>
        <v>null</v>
      </c>
      <c r="Z28" s="43" t="str">
        <f t="shared" si="11"/>
        <v/>
      </c>
    </row>
    <row r="29" spans="1:26" ht="40" customHeight="1">
      <c r="A29" s="31" t="s">
        <v>139</v>
      </c>
      <c r="B29" s="41"/>
      <c r="C29" s="37"/>
      <c r="E29" s="47" t="str">
        <f t="shared" si="0"/>
        <v/>
      </c>
      <c r="F29" s="47" t="str">
        <f t="shared" si="1"/>
        <v/>
      </c>
      <c r="G29" s="47" t="str">
        <f t="shared" si="2"/>
        <v/>
      </c>
      <c r="H29" s="47" t="str">
        <f t="shared" si="3"/>
        <v/>
      </c>
      <c r="I29" s="47" t="str">
        <f t="shared" si="4"/>
        <v/>
      </c>
      <c r="J29" s="47" t="str">
        <f t="shared" si="5"/>
        <v/>
      </c>
      <c r="K29" s="47" t="str">
        <f t="shared" si="6"/>
        <v/>
      </c>
      <c r="L29" s="47" t="str">
        <f t="shared" si="7"/>
        <v/>
      </c>
      <c r="W29" s="43" t="str">
        <f t="shared" si="8"/>
        <v>`CT-027`</v>
      </c>
      <c r="X29" s="43" t="str">
        <f t="shared" si="9"/>
        <v>null</v>
      </c>
      <c r="Y29" s="43" t="str">
        <f t="shared" si="10"/>
        <v>null</v>
      </c>
      <c r="Z29" s="43" t="str">
        <f t="shared" si="11"/>
        <v/>
      </c>
    </row>
    <row r="30" spans="1:26" ht="40" customHeight="1">
      <c r="A30" s="31" t="s">
        <v>140</v>
      </c>
      <c r="B30" s="41"/>
      <c r="C30" s="37"/>
      <c r="E30" s="47" t="str">
        <f t="shared" si="0"/>
        <v/>
      </c>
      <c r="F30" s="47" t="str">
        <f t="shared" si="1"/>
        <v/>
      </c>
      <c r="G30" s="47" t="str">
        <f t="shared" si="2"/>
        <v/>
      </c>
      <c r="H30" s="47" t="str">
        <f t="shared" si="3"/>
        <v/>
      </c>
      <c r="I30" s="47" t="str">
        <f t="shared" si="4"/>
        <v/>
      </c>
      <c r="J30" s="47" t="str">
        <f t="shared" si="5"/>
        <v/>
      </c>
      <c r="K30" s="47" t="str">
        <f t="shared" si="6"/>
        <v/>
      </c>
      <c r="L30" s="47" t="str">
        <f t="shared" si="7"/>
        <v/>
      </c>
      <c r="W30" s="43" t="str">
        <f t="shared" si="8"/>
        <v>`CT-028`</v>
      </c>
      <c r="X30" s="43" t="str">
        <f t="shared" si="9"/>
        <v>null</v>
      </c>
      <c r="Y30" s="43" t="str">
        <f t="shared" si="10"/>
        <v>null</v>
      </c>
      <c r="Z30" s="43" t="str">
        <f t="shared" si="11"/>
        <v/>
      </c>
    </row>
    <row r="31" spans="1:26" ht="40" customHeight="1">
      <c r="A31" s="31" t="s">
        <v>141</v>
      </c>
      <c r="B31" s="41"/>
      <c r="C31" s="37"/>
      <c r="E31" s="47" t="str">
        <f t="shared" si="0"/>
        <v/>
      </c>
      <c r="F31" s="47" t="str">
        <f t="shared" si="1"/>
        <v/>
      </c>
      <c r="G31" s="47" t="str">
        <f t="shared" si="2"/>
        <v/>
      </c>
      <c r="H31" s="47" t="str">
        <f t="shared" si="3"/>
        <v/>
      </c>
      <c r="I31" s="47" t="str">
        <f t="shared" si="4"/>
        <v/>
      </c>
      <c r="J31" s="47" t="str">
        <f t="shared" si="5"/>
        <v/>
      </c>
      <c r="K31" s="47" t="str">
        <f t="shared" si="6"/>
        <v/>
      </c>
      <c r="L31" s="47" t="str">
        <f t="shared" si="7"/>
        <v/>
      </c>
      <c r="W31" s="43" t="str">
        <f t="shared" si="8"/>
        <v>`CT-029`</v>
      </c>
      <c r="X31" s="43" t="str">
        <f t="shared" si="9"/>
        <v>null</v>
      </c>
      <c r="Y31" s="43" t="str">
        <f t="shared" si="10"/>
        <v>null</v>
      </c>
      <c r="Z31" s="43" t="str">
        <f t="shared" si="11"/>
        <v/>
      </c>
    </row>
    <row r="32" spans="1:26" ht="40" customHeight="1">
      <c r="A32" s="31" t="s">
        <v>142</v>
      </c>
      <c r="B32" s="41"/>
      <c r="C32" s="37"/>
      <c r="E32" s="47" t="str">
        <f t="shared" si="0"/>
        <v/>
      </c>
      <c r="F32" s="47" t="str">
        <f t="shared" si="1"/>
        <v/>
      </c>
      <c r="G32" s="47" t="str">
        <f t="shared" si="2"/>
        <v/>
      </c>
      <c r="H32" s="47" t="str">
        <f t="shared" si="3"/>
        <v/>
      </c>
      <c r="I32" s="47" t="str">
        <f t="shared" si="4"/>
        <v/>
      </c>
      <c r="J32" s="47" t="str">
        <f t="shared" si="5"/>
        <v/>
      </c>
      <c r="K32" s="47" t="str">
        <f t="shared" si="6"/>
        <v/>
      </c>
      <c r="L32" s="47" t="str">
        <f t="shared" si="7"/>
        <v/>
      </c>
      <c r="W32" s="43" t="str">
        <f t="shared" si="8"/>
        <v>`CT-030`</v>
      </c>
      <c r="X32" s="43" t="str">
        <f t="shared" si="9"/>
        <v>null</v>
      </c>
      <c r="Y32" s="43" t="str">
        <f t="shared" si="10"/>
        <v>null</v>
      </c>
      <c r="Z32" s="43" t="str">
        <f t="shared" si="11"/>
        <v/>
      </c>
    </row>
    <row r="33" spans="1:26" ht="40" customHeight="1">
      <c r="A33" s="31" t="s">
        <v>143</v>
      </c>
      <c r="B33" s="41"/>
      <c r="C33" s="37"/>
      <c r="E33" s="47" t="str">
        <f t="shared" si="0"/>
        <v/>
      </c>
      <c r="F33" s="47" t="str">
        <f t="shared" si="1"/>
        <v/>
      </c>
      <c r="G33" s="47" t="str">
        <f t="shared" si="2"/>
        <v/>
      </c>
      <c r="H33" s="47" t="str">
        <f t="shared" si="3"/>
        <v/>
      </c>
      <c r="I33" s="47" t="str">
        <f t="shared" si="4"/>
        <v/>
      </c>
      <c r="J33" s="47" t="str">
        <f t="shared" si="5"/>
        <v/>
      </c>
      <c r="K33" s="47" t="str">
        <f t="shared" si="6"/>
        <v/>
      </c>
      <c r="L33" s="47" t="str">
        <f t="shared" si="7"/>
        <v/>
      </c>
      <c r="W33" s="43" t="str">
        <f t="shared" si="8"/>
        <v>`CT-031`</v>
      </c>
      <c r="X33" s="43" t="str">
        <f t="shared" si="9"/>
        <v>null</v>
      </c>
      <c r="Y33" s="43" t="str">
        <f t="shared" si="10"/>
        <v>null</v>
      </c>
      <c r="Z33" s="43" t="str">
        <f t="shared" si="11"/>
        <v/>
      </c>
    </row>
    <row r="34" spans="1:26" ht="40" customHeight="1">
      <c r="A34" s="31" t="s">
        <v>144</v>
      </c>
      <c r="B34" s="41"/>
      <c r="C34" s="37"/>
      <c r="E34" s="47" t="str">
        <f t="shared" si="0"/>
        <v/>
      </c>
      <c r="F34" s="47" t="str">
        <f t="shared" si="1"/>
        <v/>
      </c>
      <c r="G34" s="47" t="str">
        <f t="shared" si="2"/>
        <v/>
      </c>
      <c r="H34" s="47" t="str">
        <f t="shared" si="3"/>
        <v/>
      </c>
      <c r="I34" s="47" t="str">
        <f t="shared" si="4"/>
        <v/>
      </c>
      <c r="J34" s="47" t="str">
        <f t="shared" si="5"/>
        <v/>
      </c>
      <c r="K34" s="47" t="str">
        <f t="shared" si="6"/>
        <v/>
      </c>
      <c r="L34" s="47" t="str">
        <f t="shared" si="7"/>
        <v/>
      </c>
      <c r="W34" s="43" t="str">
        <f t="shared" si="8"/>
        <v>`CT-032`</v>
      </c>
      <c r="X34" s="43" t="str">
        <f t="shared" si="9"/>
        <v>null</v>
      </c>
      <c r="Y34" s="43" t="str">
        <f t="shared" si="10"/>
        <v>null</v>
      </c>
      <c r="Z34" s="43" t="str">
        <f t="shared" si="11"/>
        <v/>
      </c>
    </row>
    <row r="35" spans="1:26" ht="40" customHeight="1">
      <c r="A35" s="31" t="s">
        <v>145</v>
      </c>
      <c r="B35" s="41"/>
      <c r="C35" s="37"/>
      <c r="E35" s="47" t="str">
        <f t="shared" si="0"/>
        <v/>
      </c>
      <c r="F35" s="47" t="str">
        <f t="shared" si="1"/>
        <v/>
      </c>
      <c r="G35" s="47" t="str">
        <f t="shared" si="2"/>
        <v/>
      </c>
      <c r="H35" s="47" t="str">
        <f t="shared" si="3"/>
        <v/>
      </c>
      <c r="I35" s="47" t="str">
        <f t="shared" si="4"/>
        <v/>
      </c>
      <c r="J35" s="47" t="str">
        <f t="shared" si="5"/>
        <v/>
      </c>
      <c r="K35" s="47" t="str">
        <f t="shared" si="6"/>
        <v/>
      </c>
      <c r="L35" s="47" t="str">
        <f t="shared" si="7"/>
        <v/>
      </c>
      <c r="W35" s="43" t="str">
        <f t="shared" si="8"/>
        <v>`CT-033`</v>
      </c>
      <c r="X35" s="43" t="str">
        <f t="shared" si="9"/>
        <v>null</v>
      </c>
      <c r="Y35" s="43" t="str">
        <f t="shared" si="10"/>
        <v>null</v>
      </c>
      <c r="Z35" s="43" t="str">
        <f t="shared" si="11"/>
        <v/>
      </c>
    </row>
    <row r="36" spans="1:26" ht="40" customHeight="1">
      <c r="A36" s="31" t="s">
        <v>146</v>
      </c>
      <c r="B36" s="41"/>
      <c r="C36" s="37"/>
      <c r="E36" s="47" t="str">
        <f t="shared" si="0"/>
        <v/>
      </c>
      <c r="F36" s="47" t="str">
        <f t="shared" si="1"/>
        <v/>
      </c>
      <c r="G36" s="47" t="str">
        <f t="shared" si="2"/>
        <v/>
      </c>
      <c r="H36" s="47" t="str">
        <f t="shared" si="3"/>
        <v/>
      </c>
      <c r="I36" s="47" t="str">
        <f t="shared" si="4"/>
        <v/>
      </c>
      <c r="J36" s="47" t="str">
        <f t="shared" si="5"/>
        <v/>
      </c>
      <c r="K36" s="47" t="str">
        <f t="shared" si="6"/>
        <v/>
      </c>
      <c r="L36" s="47" t="str">
        <f t="shared" si="7"/>
        <v/>
      </c>
      <c r="W36" s="43" t="str">
        <f t="shared" si="8"/>
        <v>`CT-034`</v>
      </c>
      <c r="X36" s="43" t="str">
        <f t="shared" si="9"/>
        <v>null</v>
      </c>
      <c r="Y36" s="43" t="str">
        <f t="shared" si="10"/>
        <v>null</v>
      </c>
      <c r="Z36" s="43" t="str">
        <f t="shared" si="11"/>
        <v/>
      </c>
    </row>
    <row r="37" spans="1:26" ht="40" customHeight="1">
      <c r="A37" s="31" t="s">
        <v>147</v>
      </c>
      <c r="B37" s="41"/>
      <c r="C37" s="37"/>
      <c r="E37" s="47" t="str">
        <f t="shared" si="0"/>
        <v/>
      </c>
      <c r="F37" s="47" t="str">
        <f t="shared" si="1"/>
        <v/>
      </c>
      <c r="G37" s="47" t="str">
        <f t="shared" si="2"/>
        <v/>
      </c>
      <c r="H37" s="47" t="str">
        <f t="shared" si="3"/>
        <v/>
      </c>
      <c r="I37" s="47" t="str">
        <f t="shared" si="4"/>
        <v/>
      </c>
      <c r="J37" s="47" t="str">
        <f t="shared" si="5"/>
        <v/>
      </c>
      <c r="K37" s="47" t="str">
        <f t="shared" si="6"/>
        <v/>
      </c>
      <c r="L37" s="47" t="str">
        <f t="shared" si="7"/>
        <v/>
      </c>
      <c r="W37" s="43" t="str">
        <f t="shared" si="8"/>
        <v>`CT-035`</v>
      </c>
      <c r="X37" s="43" t="str">
        <f t="shared" si="9"/>
        <v>null</v>
      </c>
      <c r="Y37" s="43" t="str">
        <f t="shared" si="10"/>
        <v>null</v>
      </c>
      <c r="Z37" s="43" t="str">
        <f t="shared" si="11"/>
        <v/>
      </c>
    </row>
    <row r="38" spans="1:26" ht="40" customHeight="1">
      <c r="A38" s="31" t="s">
        <v>148</v>
      </c>
      <c r="B38" s="41"/>
      <c r="C38" s="37"/>
      <c r="E38" s="47" t="str">
        <f t="shared" si="0"/>
        <v/>
      </c>
      <c r="F38" s="47" t="str">
        <f t="shared" si="1"/>
        <v/>
      </c>
      <c r="G38" s="47" t="str">
        <f t="shared" si="2"/>
        <v/>
      </c>
      <c r="H38" s="47" t="str">
        <f t="shared" si="3"/>
        <v/>
      </c>
      <c r="I38" s="47" t="str">
        <f t="shared" si="4"/>
        <v/>
      </c>
      <c r="J38" s="47" t="str">
        <f t="shared" si="5"/>
        <v/>
      </c>
      <c r="K38" s="47" t="str">
        <f t="shared" si="6"/>
        <v/>
      </c>
      <c r="L38" s="47" t="str">
        <f t="shared" si="7"/>
        <v/>
      </c>
      <c r="W38" s="43" t="str">
        <f t="shared" si="8"/>
        <v>`CT-036`</v>
      </c>
      <c r="X38" s="43" t="str">
        <f t="shared" si="9"/>
        <v>null</v>
      </c>
      <c r="Y38" s="43" t="str">
        <f t="shared" si="10"/>
        <v>null</v>
      </c>
      <c r="Z38" s="43" t="str">
        <f t="shared" si="11"/>
        <v/>
      </c>
    </row>
    <row r="39" spans="1:26" ht="40" customHeight="1">
      <c r="A39" s="31" t="s">
        <v>149</v>
      </c>
      <c r="B39" s="41"/>
      <c r="C39" s="37"/>
      <c r="E39" s="47" t="str">
        <f t="shared" si="0"/>
        <v/>
      </c>
      <c r="F39" s="47" t="str">
        <f t="shared" si="1"/>
        <v/>
      </c>
      <c r="G39" s="47" t="str">
        <f t="shared" si="2"/>
        <v/>
      </c>
      <c r="H39" s="47" t="str">
        <f t="shared" si="3"/>
        <v/>
      </c>
      <c r="I39" s="47" t="str">
        <f t="shared" si="4"/>
        <v/>
      </c>
      <c r="J39" s="47" t="str">
        <f t="shared" si="5"/>
        <v/>
      </c>
      <c r="K39" s="47" t="str">
        <f t="shared" si="6"/>
        <v/>
      </c>
      <c r="L39" s="47" t="str">
        <f t="shared" si="7"/>
        <v/>
      </c>
      <c r="W39" s="43" t="str">
        <f t="shared" si="8"/>
        <v>`CT-037`</v>
      </c>
      <c r="X39" s="43" t="str">
        <f t="shared" si="9"/>
        <v>null</v>
      </c>
      <c r="Y39" s="43" t="str">
        <f t="shared" si="10"/>
        <v>null</v>
      </c>
      <c r="Z39" s="43" t="str">
        <f t="shared" si="11"/>
        <v/>
      </c>
    </row>
    <row r="40" spans="1:26" ht="40" customHeight="1">
      <c r="A40" s="31" t="s">
        <v>150</v>
      </c>
      <c r="B40" s="41"/>
      <c r="C40" s="37"/>
      <c r="E40" s="47" t="str">
        <f t="shared" si="0"/>
        <v/>
      </c>
      <c r="F40" s="47" t="str">
        <f t="shared" si="1"/>
        <v/>
      </c>
      <c r="G40" s="47" t="str">
        <f t="shared" si="2"/>
        <v/>
      </c>
      <c r="H40" s="47" t="str">
        <f t="shared" si="3"/>
        <v/>
      </c>
      <c r="I40" s="47" t="str">
        <f t="shared" si="4"/>
        <v/>
      </c>
      <c r="J40" s="47" t="str">
        <f t="shared" si="5"/>
        <v/>
      </c>
      <c r="K40" s="47" t="str">
        <f t="shared" si="6"/>
        <v/>
      </c>
      <c r="L40" s="47" t="str">
        <f t="shared" si="7"/>
        <v/>
      </c>
      <c r="W40" s="43" t="str">
        <f t="shared" si="8"/>
        <v>`CT-038`</v>
      </c>
      <c r="X40" s="43" t="str">
        <f t="shared" si="9"/>
        <v>null</v>
      </c>
      <c r="Y40" s="43" t="str">
        <f t="shared" si="10"/>
        <v>null</v>
      </c>
      <c r="Z40" s="43" t="str">
        <f t="shared" si="11"/>
        <v/>
      </c>
    </row>
    <row r="41" spans="1:26" ht="40" customHeight="1">
      <c r="A41" s="31" t="s">
        <v>151</v>
      </c>
      <c r="B41" s="41"/>
      <c r="C41" s="37"/>
      <c r="E41" s="47" t="str">
        <f t="shared" si="0"/>
        <v/>
      </c>
      <c r="F41" s="47" t="str">
        <f t="shared" si="1"/>
        <v/>
      </c>
      <c r="G41" s="47" t="str">
        <f t="shared" si="2"/>
        <v/>
      </c>
      <c r="H41" s="47" t="str">
        <f t="shared" si="3"/>
        <v/>
      </c>
      <c r="I41" s="47" t="str">
        <f t="shared" si="4"/>
        <v/>
      </c>
      <c r="J41" s="47" t="str">
        <f t="shared" si="5"/>
        <v/>
      </c>
      <c r="K41" s="47" t="str">
        <f t="shared" si="6"/>
        <v/>
      </c>
      <c r="L41" s="47" t="str">
        <f t="shared" si="7"/>
        <v/>
      </c>
      <c r="W41" s="43" t="str">
        <f t="shared" si="8"/>
        <v>`CT-039`</v>
      </c>
      <c r="X41" s="43" t="str">
        <f t="shared" si="9"/>
        <v>null</v>
      </c>
      <c r="Y41" s="43" t="str">
        <f t="shared" si="10"/>
        <v>null</v>
      </c>
      <c r="Z41" s="43" t="str">
        <f t="shared" si="11"/>
        <v/>
      </c>
    </row>
    <row r="42" spans="1:26" ht="40" customHeight="1">
      <c r="A42" s="31" t="s">
        <v>152</v>
      </c>
      <c r="B42" s="41"/>
      <c r="C42" s="37"/>
      <c r="E42" s="47" t="str">
        <f t="shared" si="0"/>
        <v/>
      </c>
      <c r="F42" s="47" t="str">
        <f t="shared" si="1"/>
        <v/>
      </c>
      <c r="G42" s="47" t="str">
        <f t="shared" si="2"/>
        <v/>
      </c>
      <c r="H42" s="47" t="str">
        <f t="shared" si="3"/>
        <v/>
      </c>
      <c r="I42" s="47" t="str">
        <f t="shared" si="4"/>
        <v/>
      </c>
      <c r="J42" s="47" t="str">
        <f t="shared" si="5"/>
        <v/>
      </c>
      <c r="K42" s="47" t="str">
        <f t="shared" si="6"/>
        <v/>
      </c>
      <c r="L42" s="47" t="str">
        <f t="shared" si="7"/>
        <v/>
      </c>
      <c r="W42" s="43" t="str">
        <f t="shared" si="8"/>
        <v>`CT-040`</v>
      </c>
      <c r="X42" s="43" t="str">
        <f t="shared" si="9"/>
        <v>null</v>
      </c>
      <c r="Y42" s="43" t="str">
        <f t="shared" si="10"/>
        <v>null</v>
      </c>
      <c r="Z42" s="43" t="str">
        <f t="shared" si="11"/>
        <v/>
      </c>
    </row>
    <row r="43" spans="1:26" ht="40" customHeight="1">
      <c r="A43" s="31" t="s">
        <v>153</v>
      </c>
      <c r="B43" s="41"/>
      <c r="C43" s="37"/>
      <c r="E43" s="47" t="str">
        <f t="shared" si="0"/>
        <v/>
      </c>
      <c r="F43" s="47" t="str">
        <f t="shared" si="1"/>
        <v/>
      </c>
      <c r="G43" s="47" t="str">
        <f t="shared" si="2"/>
        <v/>
      </c>
      <c r="H43" s="47" t="str">
        <f t="shared" si="3"/>
        <v/>
      </c>
      <c r="I43" s="47" t="str">
        <f t="shared" si="4"/>
        <v/>
      </c>
      <c r="J43" s="47" t="str">
        <f t="shared" si="5"/>
        <v/>
      </c>
      <c r="K43" s="47" t="str">
        <f t="shared" si="6"/>
        <v/>
      </c>
      <c r="L43" s="47" t="str">
        <f t="shared" si="7"/>
        <v/>
      </c>
      <c r="W43" s="43" t="str">
        <f t="shared" si="8"/>
        <v>`CT-041`</v>
      </c>
      <c r="X43" s="43" t="str">
        <f t="shared" si="9"/>
        <v>null</v>
      </c>
      <c r="Y43" s="43" t="str">
        <f t="shared" si="10"/>
        <v>null</v>
      </c>
      <c r="Z43" s="43" t="str">
        <f t="shared" si="11"/>
        <v/>
      </c>
    </row>
    <row r="44" spans="1:26" ht="40" customHeight="1">
      <c r="A44" s="31" t="s">
        <v>154</v>
      </c>
      <c r="B44" s="41"/>
      <c r="C44" s="37"/>
      <c r="E44" s="47" t="str">
        <f t="shared" si="0"/>
        <v/>
      </c>
      <c r="F44" s="47" t="str">
        <f t="shared" si="1"/>
        <v/>
      </c>
      <c r="G44" s="47" t="str">
        <f t="shared" si="2"/>
        <v/>
      </c>
      <c r="H44" s="47" t="str">
        <f t="shared" si="3"/>
        <v/>
      </c>
      <c r="I44" s="47" t="str">
        <f t="shared" si="4"/>
        <v/>
      </c>
      <c r="J44" s="47" t="str">
        <f t="shared" si="5"/>
        <v/>
      </c>
      <c r="K44" s="47" t="str">
        <f t="shared" si="6"/>
        <v/>
      </c>
      <c r="L44" s="47" t="str">
        <f t="shared" si="7"/>
        <v/>
      </c>
      <c r="W44" s="43" t="str">
        <f t="shared" si="8"/>
        <v>`CT-042`</v>
      </c>
      <c r="X44" s="43" t="str">
        <f t="shared" si="9"/>
        <v>null</v>
      </c>
      <c r="Y44" s="43" t="str">
        <f t="shared" si="10"/>
        <v>null</v>
      </c>
      <c r="Z44" s="43" t="str">
        <f t="shared" si="11"/>
        <v/>
      </c>
    </row>
    <row r="45" spans="1:26" ht="40" customHeight="1">
      <c r="A45" s="31" t="s">
        <v>155</v>
      </c>
      <c r="B45" s="41"/>
      <c r="C45" s="37"/>
      <c r="E45" s="47" t="str">
        <f t="shared" si="0"/>
        <v/>
      </c>
      <c r="F45" s="47" t="str">
        <f t="shared" si="1"/>
        <v/>
      </c>
      <c r="G45" s="47" t="str">
        <f t="shared" si="2"/>
        <v/>
      </c>
      <c r="H45" s="47" t="str">
        <f t="shared" si="3"/>
        <v/>
      </c>
      <c r="I45" s="47" t="str">
        <f t="shared" si="4"/>
        <v/>
      </c>
      <c r="J45" s="47" t="str">
        <f t="shared" si="5"/>
        <v/>
      </c>
      <c r="K45" s="47" t="str">
        <f t="shared" si="6"/>
        <v/>
      </c>
      <c r="L45" s="47" t="str">
        <f t="shared" si="7"/>
        <v/>
      </c>
      <c r="W45" s="43" t="str">
        <f t="shared" si="8"/>
        <v>`CT-043`</v>
      </c>
      <c r="X45" s="43" t="str">
        <f t="shared" si="9"/>
        <v>null</v>
      </c>
      <c r="Y45" s="43" t="str">
        <f t="shared" si="10"/>
        <v>null</v>
      </c>
      <c r="Z45" s="43" t="str">
        <f t="shared" si="11"/>
        <v/>
      </c>
    </row>
    <row r="46" spans="1:26" ht="40" customHeight="1">
      <c r="A46" s="31" t="s">
        <v>156</v>
      </c>
      <c r="B46" s="41"/>
      <c r="C46" s="37"/>
      <c r="E46" s="47" t="str">
        <f t="shared" si="0"/>
        <v/>
      </c>
      <c r="F46" s="47" t="str">
        <f t="shared" si="1"/>
        <v/>
      </c>
      <c r="G46" s="47" t="str">
        <f t="shared" si="2"/>
        <v/>
      </c>
      <c r="H46" s="47" t="str">
        <f t="shared" si="3"/>
        <v/>
      </c>
      <c r="I46" s="47" t="str">
        <f t="shared" si="4"/>
        <v/>
      </c>
      <c r="J46" s="47" t="str">
        <f t="shared" si="5"/>
        <v/>
      </c>
      <c r="K46" s="47" t="str">
        <f t="shared" si="6"/>
        <v/>
      </c>
      <c r="L46" s="47" t="str">
        <f t="shared" si="7"/>
        <v/>
      </c>
      <c r="W46" s="43" t="str">
        <f t="shared" si="8"/>
        <v>`CT-044`</v>
      </c>
      <c r="X46" s="43" t="str">
        <f t="shared" si="9"/>
        <v>null</v>
      </c>
      <c r="Y46" s="43" t="str">
        <f t="shared" si="10"/>
        <v>null</v>
      </c>
      <c r="Z46" s="43" t="str">
        <f t="shared" si="11"/>
        <v/>
      </c>
    </row>
    <row r="47" spans="1:26" ht="40" customHeight="1">
      <c r="A47" s="31" t="s">
        <v>157</v>
      </c>
      <c r="B47" s="41"/>
      <c r="C47" s="37"/>
      <c r="E47" s="47" t="str">
        <f t="shared" si="0"/>
        <v/>
      </c>
      <c r="F47" s="47" t="str">
        <f t="shared" si="1"/>
        <v/>
      </c>
      <c r="G47" s="47" t="str">
        <f t="shared" si="2"/>
        <v/>
      </c>
      <c r="H47" s="47" t="str">
        <f t="shared" si="3"/>
        <v/>
      </c>
      <c r="I47" s="47" t="str">
        <f t="shared" si="4"/>
        <v/>
      </c>
      <c r="J47" s="47" t="str">
        <f t="shared" si="5"/>
        <v/>
      </c>
      <c r="K47" s="47" t="str">
        <f t="shared" si="6"/>
        <v/>
      </c>
      <c r="L47" s="47" t="str">
        <f t="shared" si="7"/>
        <v/>
      </c>
      <c r="W47" s="43" t="str">
        <f t="shared" si="8"/>
        <v>`CT-045`</v>
      </c>
      <c r="X47" s="43" t="str">
        <f t="shared" si="9"/>
        <v>null</v>
      </c>
      <c r="Y47" s="43" t="str">
        <f t="shared" si="10"/>
        <v>null</v>
      </c>
      <c r="Z47" s="43" t="str">
        <f t="shared" si="11"/>
        <v/>
      </c>
    </row>
    <row r="48" spans="1:26" ht="40" customHeight="1">
      <c r="A48" s="31" t="s">
        <v>158</v>
      </c>
      <c r="B48" s="41"/>
      <c r="C48" s="37"/>
      <c r="E48" s="47" t="str">
        <f t="shared" si="0"/>
        <v/>
      </c>
      <c r="F48" s="47" t="str">
        <f t="shared" si="1"/>
        <v/>
      </c>
      <c r="G48" s="47" t="str">
        <f t="shared" si="2"/>
        <v/>
      </c>
      <c r="H48" s="47" t="str">
        <f t="shared" si="3"/>
        <v/>
      </c>
      <c r="I48" s="47" t="str">
        <f t="shared" si="4"/>
        <v/>
      </c>
      <c r="J48" s="47" t="str">
        <f t="shared" si="5"/>
        <v/>
      </c>
      <c r="K48" s="47" t="str">
        <f t="shared" si="6"/>
        <v/>
      </c>
      <c r="L48" s="47" t="str">
        <f t="shared" si="7"/>
        <v/>
      </c>
      <c r="W48" s="43" t="str">
        <f t="shared" si="8"/>
        <v>`CT-046`</v>
      </c>
      <c r="X48" s="43" t="str">
        <f t="shared" si="9"/>
        <v>null</v>
      </c>
      <c r="Y48" s="43" t="str">
        <f t="shared" si="10"/>
        <v>null</v>
      </c>
      <c r="Z48" s="43" t="str">
        <f t="shared" si="11"/>
        <v/>
      </c>
    </row>
    <row r="49" spans="1:26" ht="40" customHeight="1">
      <c r="A49" s="31" t="s">
        <v>159</v>
      </c>
      <c r="B49" s="41"/>
      <c r="C49" s="37"/>
      <c r="E49" s="47" t="str">
        <f t="shared" si="0"/>
        <v/>
      </c>
      <c r="F49" s="47" t="str">
        <f t="shared" si="1"/>
        <v/>
      </c>
      <c r="G49" s="47" t="str">
        <f t="shared" si="2"/>
        <v/>
      </c>
      <c r="H49" s="47" t="str">
        <f t="shared" si="3"/>
        <v/>
      </c>
      <c r="I49" s="47" t="str">
        <f t="shared" si="4"/>
        <v/>
      </c>
      <c r="J49" s="47" t="str">
        <f t="shared" si="5"/>
        <v/>
      </c>
      <c r="K49" s="47" t="str">
        <f t="shared" si="6"/>
        <v/>
      </c>
      <c r="L49" s="47" t="str">
        <f t="shared" si="7"/>
        <v/>
      </c>
      <c r="W49" s="43" t="str">
        <f t="shared" si="8"/>
        <v>`CT-047`</v>
      </c>
      <c r="X49" s="43" t="str">
        <f t="shared" si="9"/>
        <v>null</v>
      </c>
      <c r="Y49" s="43" t="str">
        <f t="shared" si="10"/>
        <v>null</v>
      </c>
      <c r="Z49" s="43" t="str">
        <f t="shared" si="11"/>
        <v/>
      </c>
    </row>
    <row r="50" spans="1:26" ht="40" customHeight="1">
      <c r="A50" s="31" t="s">
        <v>160</v>
      </c>
      <c r="B50" s="41"/>
      <c r="C50" s="37"/>
      <c r="E50" s="47" t="str">
        <f t="shared" si="0"/>
        <v/>
      </c>
      <c r="F50" s="47" t="str">
        <f t="shared" si="1"/>
        <v/>
      </c>
      <c r="G50" s="47" t="str">
        <f t="shared" si="2"/>
        <v/>
      </c>
      <c r="H50" s="47" t="str">
        <f t="shared" si="3"/>
        <v/>
      </c>
      <c r="I50" s="47" t="str">
        <f t="shared" si="4"/>
        <v/>
      </c>
      <c r="J50" s="47" t="str">
        <f t="shared" si="5"/>
        <v/>
      </c>
      <c r="K50" s="47" t="str">
        <f t="shared" si="6"/>
        <v/>
      </c>
      <c r="L50" s="47" t="str">
        <f t="shared" si="7"/>
        <v/>
      </c>
      <c r="W50" s="43" t="str">
        <f t="shared" si="8"/>
        <v>`CT-048`</v>
      </c>
      <c r="X50" s="43" t="str">
        <f t="shared" si="9"/>
        <v>null</v>
      </c>
      <c r="Y50" s="43" t="str">
        <f t="shared" si="10"/>
        <v>null</v>
      </c>
      <c r="Z50" s="43" t="str">
        <f t="shared" si="11"/>
        <v/>
      </c>
    </row>
    <row r="51" spans="1:26" ht="40" customHeight="1">
      <c r="A51" s="31" t="s">
        <v>161</v>
      </c>
      <c r="B51" s="41"/>
      <c r="C51" s="37"/>
      <c r="E51" s="47" t="str">
        <f t="shared" si="0"/>
        <v/>
      </c>
      <c r="F51" s="47" t="str">
        <f t="shared" si="1"/>
        <v/>
      </c>
      <c r="G51" s="47" t="str">
        <f t="shared" si="2"/>
        <v/>
      </c>
      <c r="H51" s="47" t="str">
        <f t="shared" si="3"/>
        <v/>
      </c>
      <c r="I51" s="47" t="str">
        <f t="shared" si="4"/>
        <v/>
      </c>
      <c r="J51" s="47" t="str">
        <f t="shared" si="5"/>
        <v/>
      </c>
      <c r="K51" s="47" t="str">
        <f t="shared" si="6"/>
        <v/>
      </c>
      <c r="L51" s="47" t="str">
        <f t="shared" si="7"/>
        <v/>
      </c>
      <c r="W51" s="43" t="str">
        <f t="shared" si="8"/>
        <v>`CT-049`</v>
      </c>
      <c r="X51" s="43" t="str">
        <f t="shared" si="9"/>
        <v>null</v>
      </c>
      <c r="Y51" s="43" t="str">
        <f t="shared" si="10"/>
        <v>null</v>
      </c>
      <c r="Z51" s="43" t="str">
        <f t="shared" si="11"/>
        <v/>
      </c>
    </row>
    <row r="52" spans="1:26" ht="40" customHeight="1">
      <c r="A52" s="31" t="s">
        <v>162</v>
      </c>
      <c r="B52" s="41"/>
      <c r="C52" s="37"/>
      <c r="E52" s="47" t="str">
        <f t="shared" si="0"/>
        <v/>
      </c>
      <c r="F52" s="47" t="str">
        <f t="shared" si="1"/>
        <v/>
      </c>
      <c r="G52" s="47" t="str">
        <f t="shared" si="2"/>
        <v/>
      </c>
      <c r="H52" s="47" t="str">
        <f t="shared" si="3"/>
        <v/>
      </c>
      <c r="I52" s="47" t="str">
        <f t="shared" si="4"/>
        <v/>
      </c>
      <c r="J52" s="47" t="str">
        <f t="shared" si="5"/>
        <v/>
      </c>
      <c r="K52" s="47" t="str">
        <f t="shared" si="6"/>
        <v/>
      </c>
      <c r="L52" s="47" t="str">
        <f t="shared" si="7"/>
        <v/>
      </c>
      <c r="W52" s="43" t="str">
        <f t="shared" si="8"/>
        <v>`CT-050`</v>
      </c>
      <c r="X52" s="43" t="str">
        <f t="shared" si="9"/>
        <v>null</v>
      </c>
      <c r="Y52" s="43" t="str">
        <f t="shared" si="10"/>
        <v>null</v>
      </c>
      <c r="Z52" s="43" t="str">
        <f t="shared" si="11"/>
        <v/>
      </c>
    </row>
    <row r="53" spans="1:26" ht="40" customHeight="1">
      <c r="A53" s="31" t="s">
        <v>163</v>
      </c>
      <c r="B53" s="41"/>
      <c r="C53" s="37"/>
      <c r="E53" s="47" t="str">
        <f t="shared" si="0"/>
        <v/>
      </c>
      <c r="F53" s="47" t="str">
        <f t="shared" si="1"/>
        <v/>
      </c>
      <c r="G53" s="47" t="str">
        <f t="shared" si="2"/>
        <v/>
      </c>
      <c r="H53" s="47" t="str">
        <f t="shared" si="3"/>
        <v/>
      </c>
      <c r="I53" s="47" t="str">
        <f t="shared" si="4"/>
        <v/>
      </c>
      <c r="J53" s="47" t="str">
        <f t="shared" si="5"/>
        <v/>
      </c>
      <c r="K53" s="47" t="str">
        <f t="shared" si="6"/>
        <v/>
      </c>
      <c r="L53" s="47" t="str">
        <f t="shared" si="7"/>
        <v/>
      </c>
      <c r="W53" s="43" t="str">
        <f t="shared" si="8"/>
        <v>`CT-051`</v>
      </c>
      <c r="X53" s="43" t="str">
        <f t="shared" si="9"/>
        <v>null</v>
      </c>
      <c r="Y53" s="43" t="str">
        <f t="shared" si="10"/>
        <v>null</v>
      </c>
      <c r="Z53" s="43" t="str">
        <f t="shared" si="11"/>
        <v/>
      </c>
    </row>
    <row r="54" spans="1:26" ht="40" customHeight="1">
      <c r="A54" s="31" t="s">
        <v>164</v>
      </c>
      <c r="B54" s="41"/>
      <c r="C54" s="37"/>
      <c r="E54" s="47" t="str">
        <f t="shared" si="0"/>
        <v/>
      </c>
      <c r="F54" s="47" t="str">
        <f t="shared" si="1"/>
        <v/>
      </c>
      <c r="G54" s="47" t="str">
        <f t="shared" si="2"/>
        <v/>
      </c>
      <c r="H54" s="47" t="str">
        <f t="shared" si="3"/>
        <v/>
      </c>
      <c r="I54" s="47" t="str">
        <f t="shared" si="4"/>
        <v/>
      </c>
      <c r="J54" s="47" t="str">
        <f t="shared" si="5"/>
        <v/>
      </c>
      <c r="K54" s="47" t="str">
        <f t="shared" si="6"/>
        <v/>
      </c>
      <c r="L54" s="47" t="str">
        <f t="shared" si="7"/>
        <v/>
      </c>
      <c r="W54" s="43" t="str">
        <f t="shared" si="8"/>
        <v>`CT-052`</v>
      </c>
      <c r="X54" s="43" t="str">
        <f t="shared" si="9"/>
        <v>null</v>
      </c>
      <c r="Y54" s="43" t="str">
        <f t="shared" si="10"/>
        <v>null</v>
      </c>
      <c r="Z54" s="43" t="str">
        <f t="shared" si="11"/>
        <v/>
      </c>
    </row>
    <row r="55" spans="1:26" ht="40" customHeight="1">
      <c r="A55" s="31" t="s">
        <v>165</v>
      </c>
      <c r="B55" s="41"/>
      <c r="C55" s="37"/>
      <c r="E55" s="47" t="str">
        <f t="shared" si="0"/>
        <v/>
      </c>
      <c r="F55" s="47" t="str">
        <f t="shared" si="1"/>
        <v/>
      </c>
      <c r="G55" s="47" t="str">
        <f t="shared" si="2"/>
        <v/>
      </c>
      <c r="H55" s="47" t="str">
        <f t="shared" si="3"/>
        <v/>
      </c>
      <c r="I55" s="47" t="str">
        <f t="shared" si="4"/>
        <v/>
      </c>
      <c r="J55" s="47" t="str">
        <f t="shared" si="5"/>
        <v/>
      </c>
      <c r="K55" s="47" t="str">
        <f t="shared" si="6"/>
        <v/>
      </c>
      <c r="L55" s="47" t="str">
        <f t="shared" si="7"/>
        <v/>
      </c>
      <c r="W55" s="43" t="str">
        <f t="shared" si="8"/>
        <v>`CT-053`</v>
      </c>
      <c r="X55" s="43" t="str">
        <f t="shared" si="9"/>
        <v>null</v>
      </c>
      <c r="Y55" s="43" t="str">
        <f t="shared" si="10"/>
        <v>null</v>
      </c>
      <c r="Z55" s="43" t="str">
        <f t="shared" si="11"/>
        <v/>
      </c>
    </row>
    <row r="56" spans="1:26" ht="40" customHeight="1">
      <c r="A56" s="31" t="s">
        <v>166</v>
      </c>
      <c r="B56" s="41"/>
      <c r="C56" s="37"/>
      <c r="E56" s="47" t="str">
        <f t="shared" si="0"/>
        <v/>
      </c>
      <c r="F56" s="47" t="str">
        <f t="shared" si="1"/>
        <v/>
      </c>
      <c r="G56" s="47" t="str">
        <f t="shared" si="2"/>
        <v/>
      </c>
      <c r="H56" s="47" t="str">
        <f t="shared" si="3"/>
        <v/>
      </c>
      <c r="I56" s="47" t="str">
        <f t="shared" si="4"/>
        <v/>
      </c>
      <c r="J56" s="47" t="str">
        <f t="shared" si="5"/>
        <v/>
      </c>
      <c r="K56" s="47" t="str">
        <f t="shared" si="6"/>
        <v/>
      </c>
      <c r="L56" s="47" t="str">
        <f t="shared" si="7"/>
        <v/>
      </c>
      <c r="W56" s="43" t="str">
        <f t="shared" si="8"/>
        <v>`CT-054`</v>
      </c>
      <c r="X56" s="43" t="str">
        <f t="shared" si="9"/>
        <v>null</v>
      </c>
      <c r="Y56" s="43" t="str">
        <f t="shared" si="10"/>
        <v>null</v>
      </c>
      <c r="Z56" s="43" t="str">
        <f t="shared" si="11"/>
        <v/>
      </c>
    </row>
    <row r="57" spans="1:26" ht="40" customHeight="1">
      <c r="A57" s="31" t="s">
        <v>167</v>
      </c>
      <c r="B57" s="41"/>
      <c r="C57" s="37"/>
      <c r="E57" s="47" t="str">
        <f t="shared" si="0"/>
        <v/>
      </c>
      <c r="F57" s="47" t="str">
        <f t="shared" si="1"/>
        <v/>
      </c>
      <c r="G57" s="47" t="str">
        <f t="shared" si="2"/>
        <v/>
      </c>
      <c r="H57" s="47" t="str">
        <f t="shared" si="3"/>
        <v/>
      </c>
      <c r="I57" s="47" t="str">
        <f t="shared" si="4"/>
        <v/>
      </c>
      <c r="J57" s="47" t="str">
        <f t="shared" si="5"/>
        <v/>
      </c>
      <c r="K57" s="47" t="str">
        <f t="shared" si="6"/>
        <v/>
      </c>
      <c r="L57" s="47" t="str">
        <f t="shared" si="7"/>
        <v/>
      </c>
      <c r="W57" s="43" t="str">
        <f t="shared" si="8"/>
        <v>`CT-055`</v>
      </c>
      <c r="X57" s="43" t="str">
        <f t="shared" si="9"/>
        <v>null</v>
      </c>
      <c r="Y57" s="43" t="str">
        <f t="shared" si="10"/>
        <v>null</v>
      </c>
      <c r="Z57" s="43" t="str">
        <f t="shared" si="11"/>
        <v/>
      </c>
    </row>
    <row r="58" spans="1:26" ht="40" customHeight="1">
      <c r="A58" s="31" t="s">
        <v>168</v>
      </c>
      <c r="B58" s="41"/>
      <c r="C58" s="37"/>
      <c r="E58" s="47" t="str">
        <f t="shared" si="0"/>
        <v/>
      </c>
      <c r="F58" s="47" t="str">
        <f t="shared" si="1"/>
        <v/>
      </c>
      <c r="G58" s="47" t="str">
        <f t="shared" si="2"/>
        <v/>
      </c>
      <c r="H58" s="47" t="str">
        <f t="shared" si="3"/>
        <v/>
      </c>
      <c r="I58" s="47" t="str">
        <f t="shared" si="4"/>
        <v/>
      </c>
      <c r="J58" s="47" t="str">
        <f t="shared" si="5"/>
        <v/>
      </c>
      <c r="K58" s="47" t="str">
        <f t="shared" si="6"/>
        <v/>
      </c>
      <c r="L58" s="47" t="str">
        <f t="shared" si="7"/>
        <v/>
      </c>
      <c r="W58" s="43" t="str">
        <f t="shared" si="8"/>
        <v>`CT-056`</v>
      </c>
      <c r="X58" s="43" t="str">
        <f t="shared" si="9"/>
        <v>null</v>
      </c>
      <c r="Y58" s="43" t="str">
        <f t="shared" si="10"/>
        <v>null</v>
      </c>
      <c r="Z58" s="43" t="str">
        <f t="shared" si="11"/>
        <v/>
      </c>
    </row>
    <row r="59" spans="1:26" ht="40" customHeight="1">
      <c r="A59" s="31" t="s">
        <v>169</v>
      </c>
      <c r="B59" s="41"/>
      <c r="C59" s="37"/>
      <c r="E59" s="47" t="str">
        <f t="shared" si="0"/>
        <v/>
      </c>
      <c r="F59" s="47" t="str">
        <f t="shared" si="1"/>
        <v/>
      </c>
      <c r="G59" s="47" t="str">
        <f t="shared" si="2"/>
        <v/>
      </c>
      <c r="H59" s="47" t="str">
        <f t="shared" si="3"/>
        <v/>
      </c>
      <c r="I59" s="47" t="str">
        <f t="shared" si="4"/>
        <v/>
      </c>
      <c r="J59" s="47" t="str">
        <f t="shared" si="5"/>
        <v/>
      </c>
      <c r="K59" s="47" t="str">
        <f t="shared" si="6"/>
        <v/>
      </c>
      <c r="L59" s="47" t="str">
        <f t="shared" si="7"/>
        <v/>
      </c>
      <c r="W59" s="43" t="str">
        <f t="shared" si="8"/>
        <v>`CT-057`</v>
      </c>
      <c r="X59" s="43" t="str">
        <f t="shared" si="9"/>
        <v>null</v>
      </c>
      <c r="Y59" s="43" t="str">
        <f t="shared" si="10"/>
        <v>null</v>
      </c>
      <c r="Z59" s="43" t="str">
        <f t="shared" si="11"/>
        <v/>
      </c>
    </row>
    <row r="60" spans="1:26" ht="40" customHeight="1">
      <c r="A60" s="31" t="s">
        <v>170</v>
      </c>
      <c r="B60" s="41"/>
      <c r="C60" s="37"/>
      <c r="E60" s="47" t="str">
        <f t="shared" si="0"/>
        <v/>
      </c>
      <c r="F60" s="47" t="str">
        <f t="shared" si="1"/>
        <v/>
      </c>
      <c r="G60" s="47" t="str">
        <f t="shared" si="2"/>
        <v/>
      </c>
      <c r="H60" s="47" t="str">
        <f t="shared" si="3"/>
        <v/>
      </c>
      <c r="I60" s="47" t="str">
        <f t="shared" si="4"/>
        <v/>
      </c>
      <c r="J60" s="47" t="str">
        <f t="shared" si="5"/>
        <v/>
      </c>
      <c r="K60" s="47" t="str">
        <f t="shared" si="6"/>
        <v/>
      </c>
      <c r="L60" s="47" t="str">
        <f t="shared" si="7"/>
        <v/>
      </c>
      <c r="W60" s="43" t="str">
        <f t="shared" si="8"/>
        <v>`CT-058`</v>
      </c>
      <c r="X60" s="43" t="str">
        <f t="shared" si="9"/>
        <v>null</v>
      </c>
      <c r="Y60" s="43" t="str">
        <f t="shared" si="10"/>
        <v>null</v>
      </c>
      <c r="Z60" s="43" t="str">
        <f t="shared" si="11"/>
        <v/>
      </c>
    </row>
    <row r="61" spans="1:26" ht="40" customHeight="1">
      <c r="A61" s="31" t="s">
        <v>171</v>
      </c>
      <c r="B61" s="41"/>
      <c r="C61" s="37"/>
      <c r="E61" s="47" t="str">
        <f t="shared" si="0"/>
        <v/>
      </c>
      <c r="F61" s="47" t="str">
        <f t="shared" si="1"/>
        <v/>
      </c>
      <c r="G61" s="47" t="str">
        <f t="shared" si="2"/>
        <v/>
      </c>
      <c r="H61" s="47" t="str">
        <f t="shared" si="3"/>
        <v/>
      </c>
      <c r="I61" s="47" t="str">
        <f t="shared" si="4"/>
        <v/>
      </c>
      <c r="J61" s="47" t="str">
        <f t="shared" si="5"/>
        <v/>
      </c>
      <c r="K61" s="47" t="str">
        <f t="shared" si="6"/>
        <v/>
      </c>
      <c r="L61" s="47" t="str">
        <f t="shared" si="7"/>
        <v/>
      </c>
      <c r="W61" s="43" t="str">
        <f t="shared" si="8"/>
        <v>`CT-059`</v>
      </c>
      <c r="X61" s="43" t="str">
        <f t="shared" si="9"/>
        <v>null</v>
      </c>
      <c r="Y61" s="43" t="str">
        <f t="shared" si="10"/>
        <v>null</v>
      </c>
      <c r="Z61" s="43" t="str">
        <f t="shared" si="11"/>
        <v/>
      </c>
    </row>
    <row r="62" spans="1:26" ht="40" customHeight="1">
      <c r="A62" s="31" t="s">
        <v>172</v>
      </c>
      <c r="B62" s="41"/>
      <c r="C62" s="37"/>
      <c r="E62" s="47" t="str">
        <f t="shared" si="0"/>
        <v/>
      </c>
      <c r="F62" s="47" t="str">
        <f t="shared" si="1"/>
        <v/>
      </c>
      <c r="G62" s="47" t="str">
        <f t="shared" si="2"/>
        <v/>
      </c>
      <c r="H62" s="47" t="str">
        <f t="shared" si="3"/>
        <v/>
      </c>
      <c r="I62" s="47" t="str">
        <f t="shared" si="4"/>
        <v/>
      </c>
      <c r="J62" s="47" t="str">
        <f t="shared" si="5"/>
        <v/>
      </c>
      <c r="K62" s="47" t="str">
        <f t="shared" si="6"/>
        <v/>
      </c>
      <c r="L62" s="47" t="str">
        <f t="shared" si="7"/>
        <v/>
      </c>
      <c r="W62" s="43" t="str">
        <f t="shared" si="8"/>
        <v>`CT-060`</v>
      </c>
      <c r="X62" s="43" t="str">
        <f t="shared" si="9"/>
        <v>null</v>
      </c>
      <c r="Y62" s="43" t="str">
        <f t="shared" si="10"/>
        <v>null</v>
      </c>
      <c r="Z62" s="43" t="str">
        <f t="shared" si="11"/>
        <v/>
      </c>
    </row>
    <row r="63" spans="1:26" ht="40" customHeight="1">
      <c r="A63" s="31" t="s">
        <v>173</v>
      </c>
      <c r="B63" s="41"/>
      <c r="C63" s="37"/>
      <c r="E63" s="47" t="str">
        <f t="shared" si="0"/>
        <v/>
      </c>
      <c r="F63" s="47" t="str">
        <f t="shared" si="1"/>
        <v/>
      </c>
      <c r="G63" s="47" t="str">
        <f t="shared" si="2"/>
        <v/>
      </c>
      <c r="H63" s="47" t="str">
        <f t="shared" si="3"/>
        <v/>
      </c>
      <c r="I63" s="47" t="str">
        <f t="shared" si="4"/>
        <v/>
      </c>
      <c r="J63" s="47" t="str">
        <f t="shared" si="5"/>
        <v/>
      </c>
      <c r="K63" s="47" t="str">
        <f t="shared" si="6"/>
        <v/>
      </c>
      <c r="L63" s="47" t="str">
        <f t="shared" si="7"/>
        <v/>
      </c>
      <c r="W63" s="43" t="str">
        <f t="shared" si="8"/>
        <v>`CT-061`</v>
      </c>
      <c r="X63" s="43" t="str">
        <f t="shared" si="9"/>
        <v>null</v>
      </c>
      <c r="Y63" s="43" t="str">
        <f t="shared" si="10"/>
        <v>null</v>
      </c>
      <c r="Z63" s="43" t="str">
        <f t="shared" si="11"/>
        <v/>
      </c>
    </row>
    <row r="64" spans="1:26" ht="40" customHeight="1">
      <c r="A64" s="31" t="s">
        <v>174</v>
      </c>
      <c r="B64" s="41"/>
      <c r="C64" s="37"/>
      <c r="E64" s="47" t="str">
        <f t="shared" si="0"/>
        <v/>
      </c>
      <c r="F64" s="47" t="str">
        <f t="shared" si="1"/>
        <v/>
      </c>
      <c r="G64" s="47" t="str">
        <f t="shared" si="2"/>
        <v/>
      </c>
      <c r="H64" s="47" t="str">
        <f t="shared" si="3"/>
        <v/>
      </c>
      <c r="I64" s="47" t="str">
        <f t="shared" si="4"/>
        <v/>
      </c>
      <c r="J64" s="47" t="str">
        <f t="shared" si="5"/>
        <v/>
      </c>
      <c r="K64" s="47" t="str">
        <f t="shared" si="6"/>
        <v/>
      </c>
      <c r="L64" s="47" t="str">
        <f t="shared" si="7"/>
        <v/>
      </c>
      <c r="W64" s="43" t="str">
        <f t="shared" si="8"/>
        <v>`CT-062`</v>
      </c>
      <c r="X64" s="43" t="str">
        <f t="shared" si="9"/>
        <v>null</v>
      </c>
      <c r="Y64" s="43" t="str">
        <f t="shared" si="10"/>
        <v>null</v>
      </c>
      <c r="Z64" s="43" t="str">
        <f t="shared" si="11"/>
        <v/>
      </c>
    </row>
    <row r="65" spans="1:26" ht="40" customHeight="1">
      <c r="A65" s="31" t="s">
        <v>175</v>
      </c>
      <c r="B65" s="41"/>
      <c r="C65" s="37"/>
      <c r="E65" s="47" t="str">
        <f t="shared" si="0"/>
        <v/>
      </c>
      <c r="F65" s="47" t="str">
        <f t="shared" si="1"/>
        <v/>
      </c>
      <c r="G65" s="47" t="str">
        <f t="shared" si="2"/>
        <v/>
      </c>
      <c r="H65" s="47" t="str">
        <f t="shared" si="3"/>
        <v/>
      </c>
      <c r="I65" s="47" t="str">
        <f t="shared" si="4"/>
        <v/>
      </c>
      <c r="J65" s="47" t="str">
        <f t="shared" si="5"/>
        <v/>
      </c>
      <c r="K65" s="47" t="str">
        <f t="shared" si="6"/>
        <v/>
      </c>
      <c r="L65" s="47" t="str">
        <f t="shared" si="7"/>
        <v/>
      </c>
      <c r="W65" s="43" t="str">
        <f t="shared" si="8"/>
        <v>`CT-063`</v>
      </c>
      <c r="X65" s="43" t="str">
        <f t="shared" si="9"/>
        <v>null</v>
      </c>
      <c r="Y65" s="43" t="str">
        <f t="shared" si="10"/>
        <v>null</v>
      </c>
      <c r="Z65" s="43" t="str">
        <f t="shared" si="11"/>
        <v/>
      </c>
    </row>
    <row r="66" spans="1:26" ht="40" customHeight="1">
      <c r="A66" s="31" t="s">
        <v>176</v>
      </c>
      <c r="B66" s="41"/>
      <c r="C66" s="37"/>
      <c r="E66" s="47" t="str">
        <f t="shared" si="0"/>
        <v/>
      </c>
      <c r="F66" s="47" t="str">
        <f t="shared" si="1"/>
        <v/>
      </c>
      <c r="G66" s="47" t="str">
        <f t="shared" si="2"/>
        <v/>
      </c>
      <c r="H66" s="47" t="str">
        <f t="shared" si="3"/>
        <v/>
      </c>
      <c r="I66" s="47" t="str">
        <f t="shared" si="4"/>
        <v/>
      </c>
      <c r="J66" s="47" t="str">
        <f t="shared" si="5"/>
        <v/>
      </c>
      <c r="K66" s="47" t="str">
        <f t="shared" si="6"/>
        <v/>
      </c>
      <c r="L66" s="47" t="str">
        <f t="shared" si="7"/>
        <v/>
      </c>
      <c r="W66" s="43" t="str">
        <f t="shared" si="8"/>
        <v>`CT-064`</v>
      </c>
      <c r="X66" s="43" t="str">
        <f t="shared" si="9"/>
        <v>null</v>
      </c>
      <c r="Y66" s="43" t="str">
        <f t="shared" si="10"/>
        <v>null</v>
      </c>
      <c r="Z66" s="43" t="str">
        <f t="shared" si="11"/>
        <v/>
      </c>
    </row>
    <row r="67" spans="1:26" ht="40" customHeight="1">
      <c r="A67" s="31" t="s">
        <v>177</v>
      </c>
      <c r="B67" s="41"/>
      <c r="C67" s="37"/>
      <c r="E67" s="47" t="str">
        <f t="shared" si="0"/>
        <v/>
      </c>
      <c r="F67" s="47" t="str">
        <f t="shared" si="1"/>
        <v/>
      </c>
      <c r="G67" s="47" t="str">
        <f t="shared" si="2"/>
        <v/>
      </c>
      <c r="H67" s="47" t="str">
        <f t="shared" si="3"/>
        <v/>
      </c>
      <c r="I67" s="47" t="str">
        <f t="shared" si="4"/>
        <v/>
      </c>
      <c r="J67" s="47" t="str">
        <f t="shared" si="5"/>
        <v/>
      </c>
      <c r="K67" s="47" t="str">
        <f t="shared" si="6"/>
        <v/>
      </c>
      <c r="L67" s="47" t="str">
        <f t="shared" si="7"/>
        <v/>
      </c>
      <c r="W67" s="43" t="str">
        <f t="shared" si="8"/>
        <v>`CT-065`</v>
      </c>
      <c r="X67" s="43" t="str">
        <f t="shared" si="9"/>
        <v>null</v>
      </c>
      <c r="Y67" s="43" t="str">
        <f t="shared" si="10"/>
        <v>null</v>
      </c>
      <c r="Z67" s="43" t="str">
        <f t="shared" si="11"/>
        <v/>
      </c>
    </row>
    <row r="68" spans="1:26" ht="40" customHeight="1">
      <c r="A68" s="31" t="s">
        <v>178</v>
      </c>
      <c r="B68" s="41"/>
      <c r="C68" s="37"/>
      <c r="E68" s="47" t="str">
        <f t="shared" ref="E68:E102" si="14">SUBSTITUTE(C68,CHAR(10),"&lt;br&gt;")</f>
        <v/>
      </c>
      <c r="F68" s="47" t="str">
        <f t="shared" ref="F68:F102" si="15">SUBSTITUTE(E68,CHAR(34),"&amp;quot;")</f>
        <v/>
      </c>
      <c r="G68" s="47" t="str">
        <f t="shared" ref="G68:G102" si="16">SUBSTITUTE(F68,"//","&amp;sol;")</f>
        <v/>
      </c>
      <c r="H68" s="47" t="str">
        <f t="shared" ref="H68:H102" si="17">SUBSTITUTE(G68,"/*","&amp;ast;")</f>
        <v/>
      </c>
      <c r="I68" s="47" t="str">
        <f t="shared" ref="I68:I102" si="18">SUBSTITUTE(H68,CHAR(34),"&amp;quot;")</f>
        <v/>
      </c>
      <c r="J68" s="47" t="str">
        <f t="shared" ref="J68:J102" si="19">SUBSTITUTE(I68,CHAR(39),CHAR(39))</f>
        <v/>
      </c>
      <c r="K68" s="47" t="str">
        <f t="shared" ref="K68:K102" si="20">SUBSTITUTE(J68,"&lt;!--","&amp;bsol;")</f>
        <v/>
      </c>
      <c r="L68" s="47" t="str">
        <f t="shared" ref="L68:L102" si="21">SUBSTITUTE(K68,CHAR(96),"&amp;grave;")</f>
        <v/>
      </c>
      <c r="W68" s="43" t="str">
        <f t="shared" ref="W68:W102" si="22">IF(LEN(A68)&gt;0, CONCATENATE("`",A68,"`"),"null")</f>
        <v>`CT-066`</v>
      </c>
      <c r="X68" s="43" t="str">
        <f t="shared" ref="X68:X102" si="23">IF(LEN(B68)&gt;0, CONCATENATE("`",B68,"`"),"null")</f>
        <v>null</v>
      </c>
      <c r="Y68" s="43" t="str">
        <f t="shared" ref="Y68:Y102" si="24">IF(LEN(L68)&gt;0, CONCATENATE("`",L68,"`"),"null")</f>
        <v>null</v>
      </c>
      <c r="Z68" s="43" t="str">
        <f t="shared" ref="Z68:Z102" si="25">IF(AND(LEN(B68)&gt;0, LEN(C68)&gt;0),CONCATENATE("[",W68,", ",X68,", ",Y68,"]"),"")</f>
        <v/>
      </c>
    </row>
    <row r="69" spans="1:26" ht="40" customHeight="1">
      <c r="A69" s="31" t="s">
        <v>179</v>
      </c>
      <c r="B69" s="41"/>
      <c r="C69" s="37"/>
      <c r="E69" s="47" t="str">
        <f t="shared" si="14"/>
        <v/>
      </c>
      <c r="F69" s="47" t="str">
        <f t="shared" si="15"/>
        <v/>
      </c>
      <c r="G69" s="47" t="str">
        <f t="shared" si="16"/>
        <v/>
      </c>
      <c r="H69" s="47" t="str">
        <f t="shared" si="17"/>
        <v/>
      </c>
      <c r="I69" s="47" t="str">
        <f t="shared" si="18"/>
        <v/>
      </c>
      <c r="J69" s="47" t="str">
        <f t="shared" si="19"/>
        <v/>
      </c>
      <c r="K69" s="47" t="str">
        <f t="shared" si="20"/>
        <v/>
      </c>
      <c r="L69" s="47" t="str">
        <f t="shared" si="21"/>
        <v/>
      </c>
      <c r="W69" s="43" t="str">
        <f t="shared" si="22"/>
        <v>`CT-067`</v>
      </c>
      <c r="X69" s="43" t="str">
        <f t="shared" si="23"/>
        <v>null</v>
      </c>
      <c r="Y69" s="43" t="str">
        <f t="shared" si="24"/>
        <v>null</v>
      </c>
      <c r="Z69" s="43" t="str">
        <f t="shared" si="25"/>
        <v/>
      </c>
    </row>
    <row r="70" spans="1:26" ht="40" customHeight="1">
      <c r="A70" s="31" t="s">
        <v>180</v>
      </c>
      <c r="B70" s="41"/>
      <c r="C70" s="37"/>
      <c r="E70" s="47" t="str">
        <f t="shared" si="14"/>
        <v/>
      </c>
      <c r="F70" s="47" t="str">
        <f t="shared" si="15"/>
        <v/>
      </c>
      <c r="G70" s="47" t="str">
        <f t="shared" si="16"/>
        <v/>
      </c>
      <c r="H70" s="47" t="str">
        <f t="shared" si="17"/>
        <v/>
      </c>
      <c r="I70" s="47" t="str">
        <f t="shared" si="18"/>
        <v/>
      </c>
      <c r="J70" s="47" t="str">
        <f t="shared" si="19"/>
        <v/>
      </c>
      <c r="K70" s="47" t="str">
        <f t="shared" si="20"/>
        <v/>
      </c>
      <c r="L70" s="47" t="str">
        <f t="shared" si="21"/>
        <v/>
      </c>
      <c r="W70" s="43" t="str">
        <f t="shared" si="22"/>
        <v>`CT-068`</v>
      </c>
      <c r="X70" s="43" t="str">
        <f t="shared" si="23"/>
        <v>null</v>
      </c>
      <c r="Y70" s="43" t="str">
        <f t="shared" si="24"/>
        <v>null</v>
      </c>
      <c r="Z70" s="43" t="str">
        <f t="shared" si="25"/>
        <v/>
      </c>
    </row>
    <row r="71" spans="1:26" ht="40" customHeight="1">
      <c r="A71" s="31" t="s">
        <v>181</v>
      </c>
      <c r="B71" s="41"/>
      <c r="C71" s="37"/>
      <c r="E71" s="47" t="str">
        <f t="shared" si="14"/>
        <v/>
      </c>
      <c r="F71" s="47" t="str">
        <f t="shared" si="15"/>
        <v/>
      </c>
      <c r="G71" s="47" t="str">
        <f t="shared" si="16"/>
        <v/>
      </c>
      <c r="H71" s="47" t="str">
        <f t="shared" si="17"/>
        <v/>
      </c>
      <c r="I71" s="47" t="str">
        <f t="shared" si="18"/>
        <v/>
      </c>
      <c r="J71" s="47" t="str">
        <f t="shared" si="19"/>
        <v/>
      </c>
      <c r="K71" s="47" t="str">
        <f t="shared" si="20"/>
        <v/>
      </c>
      <c r="L71" s="47" t="str">
        <f t="shared" si="21"/>
        <v/>
      </c>
      <c r="W71" s="43" t="str">
        <f t="shared" si="22"/>
        <v>`CT-069`</v>
      </c>
      <c r="X71" s="43" t="str">
        <f t="shared" si="23"/>
        <v>null</v>
      </c>
      <c r="Y71" s="43" t="str">
        <f t="shared" si="24"/>
        <v>null</v>
      </c>
      <c r="Z71" s="43" t="str">
        <f t="shared" si="25"/>
        <v/>
      </c>
    </row>
    <row r="72" spans="1:26" ht="40" customHeight="1">
      <c r="A72" s="31" t="s">
        <v>182</v>
      </c>
      <c r="B72" s="41"/>
      <c r="C72" s="37"/>
      <c r="E72" s="47" t="str">
        <f t="shared" si="14"/>
        <v/>
      </c>
      <c r="F72" s="47" t="str">
        <f t="shared" si="15"/>
        <v/>
      </c>
      <c r="G72" s="47" t="str">
        <f t="shared" si="16"/>
        <v/>
      </c>
      <c r="H72" s="47" t="str">
        <f t="shared" si="17"/>
        <v/>
      </c>
      <c r="I72" s="47" t="str">
        <f t="shared" si="18"/>
        <v/>
      </c>
      <c r="J72" s="47" t="str">
        <f t="shared" si="19"/>
        <v/>
      </c>
      <c r="K72" s="47" t="str">
        <f t="shared" si="20"/>
        <v/>
      </c>
      <c r="L72" s="47" t="str">
        <f t="shared" si="21"/>
        <v/>
      </c>
      <c r="W72" s="43" t="str">
        <f t="shared" si="22"/>
        <v>`CT-070`</v>
      </c>
      <c r="X72" s="43" t="str">
        <f t="shared" si="23"/>
        <v>null</v>
      </c>
      <c r="Y72" s="43" t="str">
        <f t="shared" si="24"/>
        <v>null</v>
      </c>
      <c r="Z72" s="43" t="str">
        <f t="shared" si="25"/>
        <v/>
      </c>
    </row>
    <row r="73" spans="1:26" ht="40" customHeight="1">
      <c r="A73" s="31" t="s">
        <v>183</v>
      </c>
      <c r="B73" s="41"/>
      <c r="C73" s="37"/>
      <c r="E73" s="47" t="str">
        <f t="shared" si="14"/>
        <v/>
      </c>
      <c r="F73" s="47" t="str">
        <f t="shared" si="15"/>
        <v/>
      </c>
      <c r="G73" s="47" t="str">
        <f t="shared" si="16"/>
        <v/>
      </c>
      <c r="H73" s="47" t="str">
        <f t="shared" si="17"/>
        <v/>
      </c>
      <c r="I73" s="47" t="str">
        <f t="shared" si="18"/>
        <v/>
      </c>
      <c r="J73" s="47" t="str">
        <f t="shared" si="19"/>
        <v/>
      </c>
      <c r="K73" s="47" t="str">
        <f t="shared" si="20"/>
        <v/>
      </c>
      <c r="L73" s="47" t="str">
        <f t="shared" si="21"/>
        <v/>
      </c>
      <c r="W73" s="43" t="str">
        <f t="shared" si="22"/>
        <v>`CT-071`</v>
      </c>
      <c r="X73" s="43" t="str">
        <f t="shared" si="23"/>
        <v>null</v>
      </c>
      <c r="Y73" s="43" t="str">
        <f t="shared" si="24"/>
        <v>null</v>
      </c>
      <c r="Z73" s="43" t="str">
        <f t="shared" si="25"/>
        <v/>
      </c>
    </row>
    <row r="74" spans="1:26" ht="40" customHeight="1">
      <c r="A74" s="31" t="s">
        <v>184</v>
      </c>
      <c r="B74" s="41"/>
      <c r="C74" s="37"/>
      <c r="E74" s="47" t="str">
        <f t="shared" si="14"/>
        <v/>
      </c>
      <c r="F74" s="47" t="str">
        <f t="shared" si="15"/>
        <v/>
      </c>
      <c r="G74" s="47" t="str">
        <f t="shared" si="16"/>
        <v/>
      </c>
      <c r="H74" s="47" t="str">
        <f t="shared" si="17"/>
        <v/>
      </c>
      <c r="I74" s="47" t="str">
        <f t="shared" si="18"/>
        <v/>
      </c>
      <c r="J74" s="47" t="str">
        <f t="shared" si="19"/>
        <v/>
      </c>
      <c r="K74" s="47" t="str">
        <f t="shared" si="20"/>
        <v/>
      </c>
      <c r="L74" s="47" t="str">
        <f t="shared" si="21"/>
        <v/>
      </c>
      <c r="W74" s="43" t="str">
        <f t="shared" si="22"/>
        <v>`CT-072`</v>
      </c>
      <c r="X74" s="43" t="str">
        <f t="shared" si="23"/>
        <v>null</v>
      </c>
      <c r="Y74" s="43" t="str">
        <f t="shared" si="24"/>
        <v>null</v>
      </c>
      <c r="Z74" s="43" t="str">
        <f t="shared" si="25"/>
        <v/>
      </c>
    </row>
    <row r="75" spans="1:26" ht="40" customHeight="1">
      <c r="A75" s="31" t="s">
        <v>185</v>
      </c>
      <c r="B75" s="41"/>
      <c r="C75" s="37"/>
      <c r="E75" s="47" t="str">
        <f t="shared" si="14"/>
        <v/>
      </c>
      <c r="F75" s="47" t="str">
        <f t="shared" si="15"/>
        <v/>
      </c>
      <c r="G75" s="47" t="str">
        <f t="shared" si="16"/>
        <v/>
      </c>
      <c r="H75" s="47" t="str">
        <f t="shared" si="17"/>
        <v/>
      </c>
      <c r="I75" s="47" t="str">
        <f t="shared" si="18"/>
        <v/>
      </c>
      <c r="J75" s="47" t="str">
        <f t="shared" si="19"/>
        <v/>
      </c>
      <c r="K75" s="47" t="str">
        <f t="shared" si="20"/>
        <v/>
      </c>
      <c r="L75" s="47" t="str">
        <f t="shared" si="21"/>
        <v/>
      </c>
      <c r="W75" s="43" t="str">
        <f t="shared" si="22"/>
        <v>`CT-073`</v>
      </c>
      <c r="X75" s="43" t="str">
        <f t="shared" si="23"/>
        <v>null</v>
      </c>
      <c r="Y75" s="43" t="str">
        <f t="shared" si="24"/>
        <v>null</v>
      </c>
      <c r="Z75" s="43" t="str">
        <f t="shared" si="25"/>
        <v/>
      </c>
    </row>
    <row r="76" spans="1:26" ht="40" customHeight="1">
      <c r="A76" s="31" t="s">
        <v>186</v>
      </c>
      <c r="B76" s="41"/>
      <c r="C76" s="37"/>
      <c r="E76" s="47" t="str">
        <f t="shared" si="14"/>
        <v/>
      </c>
      <c r="F76" s="47" t="str">
        <f t="shared" si="15"/>
        <v/>
      </c>
      <c r="G76" s="47" t="str">
        <f t="shared" si="16"/>
        <v/>
      </c>
      <c r="H76" s="47" t="str">
        <f t="shared" si="17"/>
        <v/>
      </c>
      <c r="I76" s="47" t="str">
        <f t="shared" si="18"/>
        <v/>
      </c>
      <c r="J76" s="47" t="str">
        <f t="shared" si="19"/>
        <v/>
      </c>
      <c r="K76" s="47" t="str">
        <f t="shared" si="20"/>
        <v/>
      </c>
      <c r="L76" s="47" t="str">
        <f t="shared" si="21"/>
        <v/>
      </c>
      <c r="W76" s="43" t="str">
        <f t="shared" si="22"/>
        <v>`CT-074`</v>
      </c>
      <c r="X76" s="43" t="str">
        <f t="shared" si="23"/>
        <v>null</v>
      </c>
      <c r="Y76" s="43" t="str">
        <f t="shared" si="24"/>
        <v>null</v>
      </c>
      <c r="Z76" s="43" t="str">
        <f t="shared" si="25"/>
        <v/>
      </c>
    </row>
    <row r="77" spans="1:26" ht="40" customHeight="1">
      <c r="A77" s="31" t="s">
        <v>187</v>
      </c>
      <c r="B77" s="41"/>
      <c r="C77" s="37"/>
      <c r="E77" s="47" t="str">
        <f t="shared" si="14"/>
        <v/>
      </c>
      <c r="F77" s="47" t="str">
        <f t="shared" si="15"/>
        <v/>
      </c>
      <c r="G77" s="47" t="str">
        <f t="shared" si="16"/>
        <v/>
      </c>
      <c r="H77" s="47" t="str">
        <f t="shared" si="17"/>
        <v/>
      </c>
      <c r="I77" s="47" t="str">
        <f t="shared" si="18"/>
        <v/>
      </c>
      <c r="J77" s="47" t="str">
        <f t="shared" si="19"/>
        <v/>
      </c>
      <c r="K77" s="47" t="str">
        <f t="shared" si="20"/>
        <v/>
      </c>
      <c r="L77" s="47" t="str">
        <f t="shared" si="21"/>
        <v/>
      </c>
      <c r="W77" s="43" t="str">
        <f t="shared" si="22"/>
        <v>`CT-075`</v>
      </c>
      <c r="X77" s="43" t="str">
        <f t="shared" si="23"/>
        <v>null</v>
      </c>
      <c r="Y77" s="43" t="str">
        <f t="shared" si="24"/>
        <v>null</v>
      </c>
      <c r="Z77" s="43" t="str">
        <f t="shared" si="25"/>
        <v/>
      </c>
    </row>
    <row r="78" spans="1:26" ht="40" customHeight="1">
      <c r="A78" s="31" t="s">
        <v>188</v>
      </c>
      <c r="B78" s="41"/>
      <c r="C78" s="37"/>
      <c r="E78" s="47" t="str">
        <f t="shared" si="14"/>
        <v/>
      </c>
      <c r="F78" s="47" t="str">
        <f t="shared" si="15"/>
        <v/>
      </c>
      <c r="G78" s="47" t="str">
        <f t="shared" si="16"/>
        <v/>
      </c>
      <c r="H78" s="47" t="str">
        <f t="shared" si="17"/>
        <v/>
      </c>
      <c r="I78" s="47" t="str">
        <f t="shared" si="18"/>
        <v/>
      </c>
      <c r="J78" s="47" t="str">
        <f t="shared" si="19"/>
        <v/>
      </c>
      <c r="K78" s="47" t="str">
        <f t="shared" si="20"/>
        <v/>
      </c>
      <c r="L78" s="47" t="str">
        <f t="shared" si="21"/>
        <v/>
      </c>
      <c r="W78" s="43" t="str">
        <f t="shared" si="22"/>
        <v>`CT-076`</v>
      </c>
      <c r="X78" s="43" t="str">
        <f t="shared" si="23"/>
        <v>null</v>
      </c>
      <c r="Y78" s="43" t="str">
        <f t="shared" si="24"/>
        <v>null</v>
      </c>
      <c r="Z78" s="43" t="str">
        <f t="shared" si="25"/>
        <v/>
      </c>
    </row>
    <row r="79" spans="1:26" ht="40" customHeight="1">
      <c r="A79" s="31" t="s">
        <v>189</v>
      </c>
      <c r="B79" s="41"/>
      <c r="C79" s="37"/>
      <c r="E79" s="47" t="str">
        <f t="shared" si="14"/>
        <v/>
      </c>
      <c r="F79" s="47" t="str">
        <f t="shared" si="15"/>
        <v/>
      </c>
      <c r="G79" s="47" t="str">
        <f t="shared" si="16"/>
        <v/>
      </c>
      <c r="H79" s="47" t="str">
        <f t="shared" si="17"/>
        <v/>
      </c>
      <c r="I79" s="47" t="str">
        <f t="shared" si="18"/>
        <v/>
      </c>
      <c r="J79" s="47" t="str">
        <f t="shared" si="19"/>
        <v/>
      </c>
      <c r="K79" s="47" t="str">
        <f t="shared" si="20"/>
        <v/>
      </c>
      <c r="L79" s="47" t="str">
        <f t="shared" si="21"/>
        <v/>
      </c>
      <c r="W79" s="43" t="str">
        <f t="shared" si="22"/>
        <v>`CT-077`</v>
      </c>
      <c r="X79" s="43" t="str">
        <f t="shared" si="23"/>
        <v>null</v>
      </c>
      <c r="Y79" s="43" t="str">
        <f t="shared" si="24"/>
        <v>null</v>
      </c>
      <c r="Z79" s="43" t="str">
        <f t="shared" si="25"/>
        <v/>
      </c>
    </row>
    <row r="80" spans="1:26" ht="40" customHeight="1">
      <c r="A80" s="31" t="s">
        <v>190</v>
      </c>
      <c r="B80" s="41"/>
      <c r="C80" s="37"/>
      <c r="E80" s="47" t="str">
        <f t="shared" si="14"/>
        <v/>
      </c>
      <c r="F80" s="47" t="str">
        <f t="shared" si="15"/>
        <v/>
      </c>
      <c r="G80" s="47" t="str">
        <f t="shared" si="16"/>
        <v/>
      </c>
      <c r="H80" s="47" t="str">
        <f t="shared" si="17"/>
        <v/>
      </c>
      <c r="I80" s="47" t="str">
        <f t="shared" si="18"/>
        <v/>
      </c>
      <c r="J80" s="47" t="str">
        <f t="shared" si="19"/>
        <v/>
      </c>
      <c r="K80" s="47" t="str">
        <f t="shared" si="20"/>
        <v/>
      </c>
      <c r="L80" s="47" t="str">
        <f t="shared" si="21"/>
        <v/>
      </c>
      <c r="W80" s="43" t="str">
        <f t="shared" si="22"/>
        <v>`CT-078`</v>
      </c>
      <c r="X80" s="43" t="str">
        <f t="shared" si="23"/>
        <v>null</v>
      </c>
      <c r="Y80" s="43" t="str">
        <f t="shared" si="24"/>
        <v>null</v>
      </c>
      <c r="Z80" s="43" t="str">
        <f t="shared" si="25"/>
        <v/>
      </c>
    </row>
    <row r="81" spans="1:26" ht="40" customHeight="1">
      <c r="A81" s="31" t="s">
        <v>191</v>
      </c>
      <c r="B81" s="41"/>
      <c r="C81" s="37"/>
      <c r="E81" s="47" t="str">
        <f t="shared" si="14"/>
        <v/>
      </c>
      <c r="F81" s="47" t="str">
        <f t="shared" si="15"/>
        <v/>
      </c>
      <c r="G81" s="47" t="str">
        <f t="shared" si="16"/>
        <v/>
      </c>
      <c r="H81" s="47" t="str">
        <f t="shared" si="17"/>
        <v/>
      </c>
      <c r="I81" s="47" t="str">
        <f t="shared" si="18"/>
        <v/>
      </c>
      <c r="J81" s="47" t="str">
        <f t="shared" si="19"/>
        <v/>
      </c>
      <c r="K81" s="47" t="str">
        <f t="shared" si="20"/>
        <v/>
      </c>
      <c r="L81" s="47" t="str">
        <f t="shared" si="21"/>
        <v/>
      </c>
      <c r="W81" s="43" t="str">
        <f t="shared" si="22"/>
        <v>`CT-079`</v>
      </c>
      <c r="X81" s="43" t="str">
        <f t="shared" si="23"/>
        <v>null</v>
      </c>
      <c r="Y81" s="43" t="str">
        <f t="shared" si="24"/>
        <v>null</v>
      </c>
      <c r="Z81" s="43" t="str">
        <f t="shared" si="25"/>
        <v/>
      </c>
    </row>
    <row r="82" spans="1:26" ht="40" customHeight="1">
      <c r="A82" s="31" t="s">
        <v>192</v>
      </c>
      <c r="B82" s="41"/>
      <c r="C82" s="37"/>
      <c r="E82" s="47" t="str">
        <f t="shared" si="14"/>
        <v/>
      </c>
      <c r="F82" s="47" t="str">
        <f t="shared" si="15"/>
        <v/>
      </c>
      <c r="G82" s="47" t="str">
        <f t="shared" si="16"/>
        <v/>
      </c>
      <c r="H82" s="47" t="str">
        <f t="shared" si="17"/>
        <v/>
      </c>
      <c r="I82" s="47" t="str">
        <f t="shared" si="18"/>
        <v/>
      </c>
      <c r="J82" s="47" t="str">
        <f t="shared" si="19"/>
        <v/>
      </c>
      <c r="K82" s="47" t="str">
        <f t="shared" si="20"/>
        <v/>
      </c>
      <c r="L82" s="47" t="str">
        <f t="shared" si="21"/>
        <v/>
      </c>
      <c r="W82" s="43" t="str">
        <f t="shared" si="22"/>
        <v>`CT-080`</v>
      </c>
      <c r="X82" s="43" t="str">
        <f t="shared" si="23"/>
        <v>null</v>
      </c>
      <c r="Y82" s="43" t="str">
        <f t="shared" si="24"/>
        <v>null</v>
      </c>
      <c r="Z82" s="43" t="str">
        <f t="shared" si="25"/>
        <v/>
      </c>
    </row>
    <row r="83" spans="1:26" ht="40" customHeight="1">
      <c r="A83" s="31" t="s">
        <v>193</v>
      </c>
      <c r="B83" s="41"/>
      <c r="C83" s="37"/>
      <c r="E83" s="47" t="str">
        <f t="shared" si="14"/>
        <v/>
      </c>
      <c r="F83" s="47" t="str">
        <f t="shared" si="15"/>
        <v/>
      </c>
      <c r="G83" s="47" t="str">
        <f t="shared" si="16"/>
        <v/>
      </c>
      <c r="H83" s="47" t="str">
        <f t="shared" si="17"/>
        <v/>
      </c>
      <c r="I83" s="47" t="str">
        <f t="shared" si="18"/>
        <v/>
      </c>
      <c r="J83" s="47" t="str">
        <f t="shared" si="19"/>
        <v/>
      </c>
      <c r="K83" s="47" t="str">
        <f t="shared" si="20"/>
        <v/>
      </c>
      <c r="L83" s="47" t="str">
        <f t="shared" si="21"/>
        <v/>
      </c>
      <c r="W83" s="43" t="str">
        <f t="shared" si="22"/>
        <v>`CT-081`</v>
      </c>
      <c r="X83" s="43" t="str">
        <f t="shared" si="23"/>
        <v>null</v>
      </c>
      <c r="Y83" s="43" t="str">
        <f t="shared" si="24"/>
        <v>null</v>
      </c>
      <c r="Z83" s="43" t="str">
        <f t="shared" si="25"/>
        <v/>
      </c>
    </row>
    <row r="84" spans="1:26" ht="40" customHeight="1">
      <c r="A84" s="31" t="s">
        <v>194</v>
      </c>
      <c r="B84" s="41"/>
      <c r="C84" s="37"/>
      <c r="E84" s="47" t="str">
        <f t="shared" si="14"/>
        <v/>
      </c>
      <c r="F84" s="47" t="str">
        <f t="shared" si="15"/>
        <v/>
      </c>
      <c r="G84" s="47" t="str">
        <f t="shared" si="16"/>
        <v/>
      </c>
      <c r="H84" s="47" t="str">
        <f t="shared" si="17"/>
        <v/>
      </c>
      <c r="I84" s="47" t="str">
        <f t="shared" si="18"/>
        <v/>
      </c>
      <c r="J84" s="47" t="str">
        <f t="shared" si="19"/>
        <v/>
      </c>
      <c r="K84" s="47" t="str">
        <f t="shared" si="20"/>
        <v/>
      </c>
      <c r="L84" s="47" t="str">
        <f t="shared" si="21"/>
        <v/>
      </c>
      <c r="W84" s="43" t="str">
        <f t="shared" si="22"/>
        <v>`CT-082`</v>
      </c>
      <c r="X84" s="43" t="str">
        <f t="shared" si="23"/>
        <v>null</v>
      </c>
      <c r="Y84" s="43" t="str">
        <f t="shared" si="24"/>
        <v>null</v>
      </c>
      <c r="Z84" s="43" t="str">
        <f t="shared" si="25"/>
        <v/>
      </c>
    </row>
    <row r="85" spans="1:26" ht="40" customHeight="1">
      <c r="A85" s="31" t="s">
        <v>195</v>
      </c>
      <c r="B85" s="41"/>
      <c r="C85" s="37"/>
      <c r="E85" s="47" t="str">
        <f t="shared" si="14"/>
        <v/>
      </c>
      <c r="F85" s="47" t="str">
        <f t="shared" si="15"/>
        <v/>
      </c>
      <c r="G85" s="47" t="str">
        <f t="shared" si="16"/>
        <v/>
      </c>
      <c r="H85" s="47" t="str">
        <f t="shared" si="17"/>
        <v/>
      </c>
      <c r="I85" s="47" t="str">
        <f t="shared" si="18"/>
        <v/>
      </c>
      <c r="J85" s="47" t="str">
        <f t="shared" si="19"/>
        <v/>
      </c>
      <c r="K85" s="47" t="str">
        <f t="shared" si="20"/>
        <v/>
      </c>
      <c r="L85" s="47" t="str">
        <f t="shared" si="21"/>
        <v/>
      </c>
      <c r="W85" s="43" t="str">
        <f t="shared" si="22"/>
        <v>`CT-083`</v>
      </c>
      <c r="X85" s="43" t="str">
        <f t="shared" si="23"/>
        <v>null</v>
      </c>
      <c r="Y85" s="43" t="str">
        <f t="shared" si="24"/>
        <v>null</v>
      </c>
      <c r="Z85" s="43" t="str">
        <f t="shared" si="25"/>
        <v/>
      </c>
    </row>
    <row r="86" spans="1:26" ht="40" customHeight="1">
      <c r="A86" s="31" t="s">
        <v>196</v>
      </c>
      <c r="B86" s="41"/>
      <c r="C86" s="37"/>
      <c r="E86" s="47" t="str">
        <f t="shared" si="14"/>
        <v/>
      </c>
      <c r="F86" s="47" t="str">
        <f t="shared" si="15"/>
        <v/>
      </c>
      <c r="G86" s="47" t="str">
        <f t="shared" si="16"/>
        <v/>
      </c>
      <c r="H86" s="47" t="str">
        <f t="shared" si="17"/>
        <v/>
      </c>
      <c r="I86" s="47" t="str">
        <f t="shared" si="18"/>
        <v/>
      </c>
      <c r="J86" s="47" t="str">
        <f t="shared" si="19"/>
        <v/>
      </c>
      <c r="K86" s="47" t="str">
        <f t="shared" si="20"/>
        <v/>
      </c>
      <c r="L86" s="47" t="str">
        <f t="shared" si="21"/>
        <v/>
      </c>
      <c r="W86" s="43" t="str">
        <f t="shared" si="22"/>
        <v>`CT-084`</v>
      </c>
      <c r="X86" s="43" t="str">
        <f t="shared" si="23"/>
        <v>null</v>
      </c>
      <c r="Y86" s="43" t="str">
        <f t="shared" si="24"/>
        <v>null</v>
      </c>
      <c r="Z86" s="43" t="str">
        <f t="shared" si="25"/>
        <v/>
      </c>
    </row>
    <row r="87" spans="1:26" ht="40" customHeight="1">
      <c r="A87" s="31" t="s">
        <v>197</v>
      </c>
      <c r="B87" s="41"/>
      <c r="C87" s="37"/>
      <c r="E87" s="47" t="str">
        <f t="shared" si="14"/>
        <v/>
      </c>
      <c r="F87" s="47" t="str">
        <f t="shared" si="15"/>
        <v/>
      </c>
      <c r="G87" s="47" t="str">
        <f t="shared" si="16"/>
        <v/>
      </c>
      <c r="H87" s="47" t="str">
        <f t="shared" si="17"/>
        <v/>
      </c>
      <c r="I87" s="47" t="str">
        <f t="shared" si="18"/>
        <v/>
      </c>
      <c r="J87" s="47" t="str">
        <f t="shared" si="19"/>
        <v/>
      </c>
      <c r="K87" s="47" t="str">
        <f t="shared" si="20"/>
        <v/>
      </c>
      <c r="L87" s="47" t="str">
        <f t="shared" si="21"/>
        <v/>
      </c>
      <c r="W87" s="43" t="str">
        <f t="shared" si="22"/>
        <v>`CT-085`</v>
      </c>
      <c r="X87" s="43" t="str">
        <f t="shared" si="23"/>
        <v>null</v>
      </c>
      <c r="Y87" s="43" t="str">
        <f t="shared" si="24"/>
        <v>null</v>
      </c>
      <c r="Z87" s="43" t="str">
        <f t="shared" si="25"/>
        <v/>
      </c>
    </row>
    <row r="88" spans="1:26" ht="40" customHeight="1">
      <c r="A88" s="31" t="s">
        <v>198</v>
      </c>
      <c r="B88" s="41"/>
      <c r="C88" s="37"/>
      <c r="E88" s="47" t="str">
        <f t="shared" si="14"/>
        <v/>
      </c>
      <c r="F88" s="47" t="str">
        <f t="shared" si="15"/>
        <v/>
      </c>
      <c r="G88" s="47" t="str">
        <f t="shared" si="16"/>
        <v/>
      </c>
      <c r="H88" s="47" t="str">
        <f t="shared" si="17"/>
        <v/>
      </c>
      <c r="I88" s="47" t="str">
        <f t="shared" si="18"/>
        <v/>
      </c>
      <c r="J88" s="47" t="str">
        <f t="shared" si="19"/>
        <v/>
      </c>
      <c r="K88" s="47" t="str">
        <f t="shared" si="20"/>
        <v/>
      </c>
      <c r="L88" s="47" t="str">
        <f t="shared" si="21"/>
        <v/>
      </c>
      <c r="W88" s="43" t="str">
        <f t="shared" si="22"/>
        <v>`CT-086`</v>
      </c>
      <c r="X88" s="43" t="str">
        <f t="shared" si="23"/>
        <v>null</v>
      </c>
      <c r="Y88" s="43" t="str">
        <f t="shared" si="24"/>
        <v>null</v>
      </c>
      <c r="Z88" s="43" t="str">
        <f t="shared" si="25"/>
        <v/>
      </c>
    </row>
    <row r="89" spans="1:26" ht="40" customHeight="1">
      <c r="A89" s="31" t="s">
        <v>199</v>
      </c>
      <c r="B89" s="41"/>
      <c r="C89" s="37"/>
      <c r="E89" s="47" t="str">
        <f t="shared" si="14"/>
        <v/>
      </c>
      <c r="F89" s="47" t="str">
        <f t="shared" si="15"/>
        <v/>
      </c>
      <c r="G89" s="47" t="str">
        <f t="shared" si="16"/>
        <v/>
      </c>
      <c r="H89" s="47" t="str">
        <f t="shared" si="17"/>
        <v/>
      </c>
      <c r="I89" s="47" t="str">
        <f t="shared" si="18"/>
        <v/>
      </c>
      <c r="J89" s="47" t="str">
        <f t="shared" si="19"/>
        <v/>
      </c>
      <c r="K89" s="47" t="str">
        <f t="shared" si="20"/>
        <v/>
      </c>
      <c r="L89" s="47" t="str">
        <f t="shared" si="21"/>
        <v/>
      </c>
      <c r="W89" s="43" t="str">
        <f t="shared" si="22"/>
        <v>`CT-087`</v>
      </c>
      <c r="X89" s="43" t="str">
        <f t="shared" si="23"/>
        <v>null</v>
      </c>
      <c r="Y89" s="43" t="str">
        <f t="shared" si="24"/>
        <v>null</v>
      </c>
      <c r="Z89" s="43" t="str">
        <f t="shared" si="25"/>
        <v/>
      </c>
    </row>
    <row r="90" spans="1:26" ht="40" customHeight="1">
      <c r="A90" s="31" t="s">
        <v>200</v>
      </c>
      <c r="B90" s="41"/>
      <c r="C90" s="37"/>
      <c r="E90" s="47" t="str">
        <f t="shared" si="14"/>
        <v/>
      </c>
      <c r="F90" s="47" t="str">
        <f t="shared" si="15"/>
        <v/>
      </c>
      <c r="G90" s="47" t="str">
        <f t="shared" si="16"/>
        <v/>
      </c>
      <c r="H90" s="47" t="str">
        <f t="shared" si="17"/>
        <v/>
      </c>
      <c r="I90" s="47" t="str">
        <f t="shared" si="18"/>
        <v/>
      </c>
      <c r="J90" s="47" t="str">
        <f t="shared" si="19"/>
        <v/>
      </c>
      <c r="K90" s="47" t="str">
        <f t="shared" si="20"/>
        <v/>
      </c>
      <c r="L90" s="47" t="str">
        <f t="shared" si="21"/>
        <v/>
      </c>
      <c r="W90" s="43" t="str">
        <f t="shared" si="22"/>
        <v>`CT-088`</v>
      </c>
      <c r="X90" s="43" t="str">
        <f t="shared" si="23"/>
        <v>null</v>
      </c>
      <c r="Y90" s="43" t="str">
        <f t="shared" si="24"/>
        <v>null</v>
      </c>
      <c r="Z90" s="43" t="str">
        <f t="shared" si="25"/>
        <v/>
      </c>
    </row>
    <row r="91" spans="1:26" ht="40" customHeight="1">
      <c r="A91" s="31" t="s">
        <v>201</v>
      </c>
      <c r="B91" s="41"/>
      <c r="C91" s="37"/>
      <c r="E91" s="47" t="str">
        <f t="shared" si="14"/>
        <v/>
      </c>
      <c r="F91" s="47" t="str">
        <f t="shared" si="15"/>
        <v/>
      </c>
      <c r="G91" s="47" t="str">
        <f t="shared" si="16"/>
        <v/>
      </c>
      <c r="H91" s="47" t="str">
        <f t="shared" si="17"/>
        <v/>
      </c>
      <c r="I91" s="47" t="str">
        <f t="shared" si="18"/>
        <v/>
      </c>
      <c r="J91" s="47" t="str">
        <f t="shared" si="19"/>
        <v/>
      </c>
      <c r="K91" s="47" t="str">
        <f t="shared" si="20"/>
        <v/>
      </c>
      <c r="L91" s="47" t="str">
        <f t="shared" si="21"/>
        <v/>
      </c>
      <c r="W91" s="43" t="str">
        <f t="shared" si="22"/>
        <v>`CT-089`</v>
      </c>
      <c r="X91" s="43" t="str">
        <f t="shared" si="23"/>
        <v>null</v>
      </c>
      <c r="Y91" s="43" t="str">
        <f t="shared" si="24"/>
        <v>null</v>
      </c>
      <c r="Z91" s="43" t="str">
        <f t="shared" si="25"/>
        <v/>
      </c>
    </row>
    <row r="92" spans="1:26" ht="40" customHeight="1">
      <c r="A92" s="31" t="s">
        <v>202</v>
      </c>
      <c r="B92" s="41"/>
      <c r="C92" s="37"/>
      <c r="E92" s="47" t="str">
        <f t="shared" si="14"/>
        <v/>
      </c>
      <c r="F92" s="47" t="str">
        <f t="shared" si="15"/>
        <v/>
      </c>
      <c r="G92" s="47" t="str">
        <f t="shared" si="16"/>
        <v/>
      </c>
      <c r="H92" s="47" t="str">
        <f t="shared" si="17"/>
        <v/>
      </c>
      <c r="I92" s="47" t="str">
        <f t="shared" si="18"/>
        <v/>
      </c>
      <c r="J92" s="47" t="str">
        <f t="shared" si="19"/>
        <v/>
      </c>
      <c r="K92" s="47" t="str">
        <f t="shared" si="20"/>
        <v/>
      </c>
      <c r="L92" s="47" t="str">
        <f t="shared" si="21"/>
        <v/>
      </c>
      <c r="W92" s="43" t="str">
        <f t="shared" si="22"/>
        <v>`CT-090`</v>
      </c>
      <c r="X92" s="43" t="str">
        <f t="shared" si="23"/>
        <v>null</v>
      </c>
      <c r="Y92" s="43" t="str">
        <f t="shared" si="24"/>
        <v>null</v>
      </c>
      <c r="Z92" s="43" t="str">
        <f t="shared" si="25"/>
        <v/>
      </c>
    </row>
    <row r="93" spans="1:26" ht="40" customHeight="1">
      <c r="A93" s="31" t="s">
        <v>203</v>
      </c>
      <c r="B93" s="41"/>
      <c r="C93" s="37"/>
      <c r="E93" s="47" t="str">
        <f t="shared" si="14"/>
        <v/>
      </c>
      <c r="F93" s="47" t="str">
        <f t="shared" si="15"/>
        <v/>
      </c>
      <c r="G93" s="47" t="str">
        <f t="shared" si="16"/>
        <v/>
      </c>
      <c r="H93" s="47" t="str">
        <f t="shared" si="17"/>
        <v/>
      </c>
      <c r="I93" s="47" t="str">
        <f t="shared" si="18"/>
        <v/>
      </c>
      <c r="J93" s="47" t="str">
        <f t="shared" si="19"/>
        <v/>
      </c>
      <c r="K93" s="47" t="str">
        <f t="shared" si="20"/>
        <v/>
      </c>
      <c r="L93" s="47" t="str">
        <f t="shared" si="21"/>
        <v/>
      </c>
      <c r="W93" s="43" t="str">
        <f t="shared" si="22"/>
        <v>`CT-091`</v>
      </c>
      <c r="X93" s="43" t="str">
        <f t="shared" si="23"/>
        <v>null</v>
      </c>
      <c r="Y93" s="43" t="str">
        <f t="shared" si="24"/>
        <v>null</v>
      </c>
      <c r="Z93" s="43" t="str">
        <f t="shared" si="25"/>
        <v/>
      </c>
    </row>
    <row r="94" spans="1:26" ht="40" customHeight="1">
      <c r="A94" s="31" t="s">
        <v>204</v>
      </c>
      <c r="B94" s="41"/>
      <c r="C94" s="37"/>
      <c r="E94" s="47" t="str">
        <f t="shared" si="14"/>
        <v/>
      </c>
      <c r="F94" s="47" t="str">
        <f t="shared" si="15"/>
        <v/>
      </c>
      <c r="G94" s="47" t="str">
        <f t="shared" si="16"/>
        <v/>
      </c>
      <c r="H94" s="47" t="str">
        <f t="shared" si="17"/>
        <v/>
      </c>
      <c r="I94" s="47" t="str">
        <f t="shared" si="18"/>
        <v/>
      </c>
      <c r="J94" s="47" t="str">
        <f t="shared" si="19"/>
        <v/>
      </c>
      <c r="K94" s="47" t="str">
        <f t="shared" si="20"/>
        <v/>
      </c>
      <c r="L94" s="47" t="str">
        <f t="shared" si="21"/>
        <v/>
      </c>
      <c r="W94" s="43" t="str">
        <f t="shared" si="22"/>
        <v>`CT-092`</v>
      </c>
      <c r="X94" s="43" t="str">
        <f t="shared" si="23"/>
        <v>null</v>
      </c>
      <c r="Y94" s="43" t="str">
        <f t="shared" si="24"/>
        <v>null</v>
      </c>
      <c r="Z94" s="43" t="str">
        <f t="shared" si="25"/>
        <v/>
      </c>
    </row>
    <row r="95" spans="1:26" ht="40" customHeight="1">
      <c r="A95" s="31" t="s">
        <v>205</v>
      </c>
      <c r="B95" s="41"/>
      <c r="C95" s="37"/>
      <c r="E95" s="47" t="str">
        <f t="shared" si="14"/>
        <v/>
      </c>
      <c r="F95" s="47" t="str">
        <f t="shared" si="15"/>
        <v/>
      </c>
      <c r="G95" s="47" t="str">
        <f t="shared" si="16"/>
        <v/>
      </c>
      <c r="H95" s="47" t="str">
        <f t="shared" si="17"/>
        <v/>
      </c>
      <c r="I95" s="47" t="str">
        <f t="shared" si="18"/>
        <v/>
      </c>
      <c r="J95" s="47" t="str">
        <f t="shared" si="19"/>
        <v/>
      </c>
      <c r="K95" s="47" t="str">
        <f t="shared" si="20"/>
        <v/>
      </c>
      <c r="L95" s="47" t="str">
        <f t="shared" si="21"/>
        <v/>
      </c>
      <c r="W95" s="43" t="str">
        <f t="shared" si="22"/>
        <v>`CT-093`</v>
      </c>
      <c r="X95" s="43" t="str">
        <f t="shared" si="23"/>
        <v>null</v>
      </c>
      <c r="Y95" s="43" t="str">
        <f t="shared" si="24"/>
        <v>null</v>
      </c>
      <c r="Z95" s="43" t="str">
        <f t="shared" si="25"/>
        <v/>
      </c>
    </row>
    <row r="96" spans="1:26" ht="40" customHeight="1">
      <c r="A96" s="31" t="s">
        <v>206</v>
      </c>
      <c r="B96" s="41"/>
      <c r="C96" s="37"/>
      <c r="E96" s="47" t="str">
        <f t="shared" si="14"/>
        <v/>
      </c>
      <c r="F96" s="47" t="str">
        <f t="shared" si="15"/>
        <v/>
      </c>
      <c r="G96" s="47" t="str">
        <f t="shared" si="16"/>
        <v/>
      </c>
      <c r="H96" s="47" t="str">
        <f t="shared" si="17"/>
        <v/>
      </c>
      <c r="I96" s="47" t="str">
        <f t="shared" si="18"/>
        <v/>
      </c>
      <c r="J96" s="47" t="str">
        <f t="shared" si="19"/>
        <v/>
      </c>
      <c r="K96" s="47" t="str">
        <f t="shared" si="20"/>
        <v/>
      </c>
      <c r="L96" s="47" t="str">
        <f t="shared" si="21"/>
        <v/>
      </c>
      <c r="W96" s="43" t="str">
        <f t="shared" si="22"/>
        <v>`CT-094`</v>
      </c>
      <c r="X96" s="43" t="str">
        <f t="shared" si="23"/>
        <v>null</v>
      </c>
      <c r="Y96" s="43" t="str">
        <f t="shared" si="24"/>
        <v>null</v>
      </c>
      <c r="Z96" s="43" t="str">
        <f t="shared" si="25"/>
        <v/>
      </c>
    </row>
    <row r="97" spans="1:26" ht="40" customHeight="1">
      <c r="A97" s="31" t="s">
        <v>207</v>
      </c>
      <c r="B97" s="41"/>
      <c r="C97" s="37"/>
      <c r="E97" s="47" t="str">
        <f t="shared" si="14"/>
        <v/>
      </c>
      <c r="F97" s="47" t="str">
        <f t="shared" si="15"/>
        <v/>
      </c>
      <c r="G97" s="47" t="str">
        <f t="shared" si="16"/>
        <v/>
      </c>
      <c r="H97" s="47" t="str">
        <f t="shared" si="17"/>
        <v/>
      </c>
      <c r="I97" s="47" t="str">
        <f t="shared" si="18"/>
        <v/>
      </c>
      <c r="J97" s="47" t="str">
        <f t="shared" si="19"/>
        <v/>
      </c>
      <c r="K97" s="47" t="str">
        <f t="shared" si="20"/>
        <v/>
      </c>
      <c r="L97" s="47" t="str">
        <f t="shared" si="21"/>
        <v/>
      </c>
      <c r="W97" s="43" t="str">
        <f t="shared" si="22"/>
        <v>`CT-095`</v>
      </c>
      <c r="X97" s="43" t="str">
        <f t="shared" si="23"/>
        <v>null</v>
      </c>
      <c r="Y97" s="43" t="str">
        <f t="shared" si="24"/>
        <v>null</v>
      </c>
      <c r="Z97" s="43" t="str">
        <f t="shared" si="25"/>
        <v/>
      </c>
    </row>
    <row r="98" spans="1:26" ht="40" customHeight="1">
      <c r="A98" s="31" t="s">
        <v>208</v>
      </c>
      <c r="B98" s="41"/>
      <c r="C98" s="37"/>
      <c r="E98" s="47" t="str">
        <f t="shared" si="14"/>
        <v/>
      </c>
      <c r="F98" s="47" t="str">
        <f t="shared" si="15"/>
        <v/>
      </c>
      <c r="G98" s="47" t="str">
        <f t="shared" si="16"/>
        <v/>
      </c>
      <c r="H98" s="47" t="str">
        <f t="shared" si="17"/>
        <v/>
      </c>
      <c r="I98" s="47" t="str">
        <f t="shared" si="18"/>
        <v/>
      </c>
      <c r="J98" s="47" t="str">
        <f t="shared" si="19"/>
        <v/>
      </c>
      <c r="K98" s="47" t="str">
        <f t="shared" si="20"/>
        <v/>
      </c>
      <c r="L98" s="47" t="str">
        <f t="shared" si="21"/>
        <v/>
      </c>
      <c r="W98" s="43" t="str">
        <f t="shared" si="22"/>
        <v>`CT-096`</v>
      </c>
      <c r="X98" s="43" t="str">
        <f t="shared" si="23"/>
        <v>null</v>
      </c>
      <c r="Y98" s="43" t="str">
        <f t="shared" si="24"/>
        <v>null</v>
      </c>
      <c r="Z98" s="43" t="str">
        <f t="shared" si="25"/>
        <v/>
      </c>
    </row>
    <row r="99" spans="1:26" ht="40" customHeight="1">
      <c r="A99" s="31" t="s">
        <v>209</v>
      </c>
      <c r="B99" s="41"/>
      <c r="C99" s="37"/>
      <c r="E99" s="47" t="str">
        <f t="shared" si="14"/>
        <v/>
      </c>
      <c r="F99" s="47" t="str">
        <f t="shared" si="15"/>
        <v/>
      </c>
      <c r="G99" s="47" t="str">
        <f t="shared" si="16"/>
        <v/>
      </c>
      <c r="H99" s="47" t="str">
        <f t="shared" si="17"/>
        <v/>
      </c>
      <c r="I99" s="47" t="str">
        <f t="shared" si="18"/>
        <v/>
      </c>
      <c r="J99" s="47" t="str">
        <f t="shared" si="19"/>
        <v/>
      </c>
      <c r="K99" s="47" t="str">
        <f t="shared" si="20"/>
        <v/>
      </c>
      <c r="L99" s="47" t="str">
        <f t="shared" si="21"/>
        <v/>
      </c>
      <c r="W99" s="43" t="str">
        <f t="shared" si="22"/>
        <v>`CT-097`</v>
      </c>
      <c r="X99" s="43" t="str">
        <f t="shared" si="23"/>
        <v>null</v>
      </c>
      <c r="Y99" s="43" t="str">
        <f t="shared" si="24"/>
        <v>null</v>
      </c>
      <c r="Z99" s="43" t="str">
        <f t="shared" si="25"/>
        <v/>
      </c>
    </row>
    <row r="100" spans="1:26" ht="40" customHeight="1">
      <c r="A100" s="31" t="s">
        <v>210</v>
      </c>
      <c r="B100" s="41"/>
      <c r="C100" s="37"/>
      <c r="E100" s="47" t="str">
        <f t="shared" si="14"/>
        <v/>
      </c>
      <c r="F100" s="47" t="str">
        <f t="shared" si="15"/>
        <v/>
      </c>
      <c r="G100" s="47" t="str">
        <f t="shared" si="16"/>
        <v/>
      </c>
      <c r="H100" s="47" t="str">
        <f t="shared" si="17"/>
        <v/>
      </c>
      <c r="I100" s="47" t="str">
        <f t="shared" si="18"/>
        <v/>
      </c>
      <c r="J100" s="47" t="str">
        <f t="shared" si="19"/>
        <v/>
      </c>
      <c r="K100" s="47" t="str">
        <f t="shared" si="20"/>
        <v/>
      </c>
      <c r="L100" s="47" t="str">
        <f t="shared" si="21"/>
        <v/>
      </c>
      <c r="W100" s="43" t="str">
        <f t="shared" si="22"/>
        <v>`CT-098`</v>
      </c>
      <c r="X100" s="43" t="str">
        <f t="shared" si="23"/>
        <v>null</v>
      </c>
      <c r="Y100" s="43" t="str">
        <f t="shared" si="24"/>
        <v>null</v>
      </c>
      <c r="Z100" s="43" t="str">
        <f t="shared" si="25"/>
        <v/>
      </c>
    </row>
    <row r="101" spans="1:26" ht="40" customHeight="1">
      <c r="A101" s="31" t="s">
        <v>211</v>
      </c>
      <c r="B101" s="41"/>
      <c r="C101" s="37"/>
      <c r="E101" s="47" t="str">
        <f t="shared" si="14"/>
        <v/>
      </c>
      <c r="F101" s="47" t="str">
        <f t="shared" si="15"/>
        <v/>
      </c>
      <c r="G101" s="47" t="str">
        <f t="shared" si="16"/>
        <v/>
      </c>
      <c r="H101" s="47" t="str">
        <f t="shared" si="17"/>
        <v/>
      </c>
      <c r="I101" s="47" t="str">
        <f t="shared" si="18"/>
        <v/>
      </c>
      <c r="J101" s="47" t="str">
        <f t="shared" si="19"/>
        <v/>
      </c>
      <c r="K101" s="47" t="str">
        <f t="shared" si="20"/>
        <v/>
      </c>
      <c r="L101" s="47" t="str">
        <f t="shared" si="21"/>
        <v/>
      </c>
      <c r="W101" s="43" t="str">
        <f t="shared" si="22"/>
        <v>`CT-099`</v>
      </c>
      <c r="X101" s="43" t="str">
        <f t="shared" si="23"/>
        <v>null</v>
      </c>
      <c r="Y101" s="43" t="str">
        <f t="shared" si="24"/>
        <v>null</v>
      </c>
      <c r="Z101" s="43" t="str">
        <f t="shared" si="25"/>
        <v/>
      </c>
    </row>
    <row r="102" spans="1:26" ht="40" customHeight="1" thickBot="1">
      <c r="A102" s="32" t="s">
        <v>212</v>
      </c>
      <c r="B102" s="42"/>
      <c r="C102" s="39"/>
      <c r="E102" s="47" t="str">
        <f t="shared" si="14"/>
        <v/>
      </c>
      <c r="F102" s="47" t="str">
        <f t="shared" si="15"/>
        <v/>
      </c>
      <c r="G102" s="47" t="str">
        <f t="shared" si="16"/>
        <v/>
      </c>
      <c r="H102" s="47" t="str">
        <f t="shared" si="17"/>
        <v/>
      </c>
      <c r="I102" s="47" t="str">
        <f t="shared" si="18"/>
        <v/>
      </c>
      <c r="J102" s="47" t="str">
        <f t="shared" si="19"/>
        <v/>
      </c>
      <c r="K102" s="47" t="str">
        <f t="shared" si="20"/>
        <v/>
      </c>
      <c r="L102" s="47" t="str">
        <f t="shared" si="21"/>
        <v/>
      </c>
      <c r="W102" s="43" t="str">
        <f t="shared" si="22"/>
        <v>`CT-100`</v>
      </c>
      <c r="X102" s="43" t="str">
        <f t="shared" si="23"/>
        <v>null</v>
      </c>
      <c r="Y102" s="43" t="str">
        <f t="shared" si="24"/>
        <v>null</v>
      </c>
      <c r="Z102" s="43" t="str">
        <f t="shared" si="25"/>
        <v/>
      </c>
    </row>
    <row r="103" spans="1:26">
      <c r="Z103" s="43" t="str">
        <f>CONCATENATE("[",concatenateMultiple(Z3:Z102,","),"]")</f>
        <v>[[`CT-001`, `Demo CT-001`, `This is a multile demo of some important content to remember:&lt;br&gt;Line 1&lt;br&gt;Line 2&lt;br&gt;Line etc…&lt;br&gt;Content for CT-001`],[`CT-002`, `Demo CT-002`, `This is a multile demo of some important content to remember:&lt;br&gt;Line 1&lt;br&gt;Line 2&lt;br&gt;Line etc…&lt;br&gt;Content for CT-002`],[`CT-003`, `Demo CT-003`, `This is a multile demo of some important content to remember:&lt;br&gt;Line 1&lt;br&gt;Line 2&lt;br&gt;Line etc…&lt;br&gt;Content for CT-003`],[`CT-004`, `Demo CT-004`, `This is a multile demo of some important content to remember:&lt;br&gt;Line 1&lt;br&gt;Line 2&lt;br&gt;Line etc…&lt;br&gt;Content for CT-004`],[`CT-005`, `Demo CT-005`, `This is a multile demo of some important content to remember:&lt;br&gt;Line 1&lt;br&gt;Line 2&lt;br&gt;Line etc…&lt;br&gt;Content for CT-005`],[`CT-006`, `Demo CT-006`, `This is a multile demo of some important content to remember:&lt;br&gt;Line 1&lt;br&gt;Line 2&lt;br&gt;Line etc…&lt;br&gt;Content for CT-006`],[`CT-007`, `Demo CT-007`, `This is a multile demo of some important content to remember:&lt;br&gt;Line 1&lt;br&gt;Line 2&lt;br&gt;Line etc…&lt;br&gt;Content for CT-007`],[`CT-008`, `Demo CT-008`, `This is a multile demo of some important content to remember:&lt;br&gt;Line 1&lt;br&gt;Line 2&lt;br&gt;Line etc…&lt;br&gt;Content for CT-008`],[`CT-009`, `Demo CT-009`, `This is a multile demo of some important content to remember:&lt;br&gt;Line 1&lt;br&gt;Line 2&lt;br&gt;Line etc…&lt;br&gt;Content for CT-009`],[`CT-010`, `Demo CT-010`, `This is a multile demo of some important content to remember:&lt;br&gt;Line 1&lt;br&gt;Line 2&lt;br&gt;Line etc…&lt;br&gt;Content for CT-010`],[`CT-011`, `Demo CT-011`, `This is a multile demo of some important content to remember:&lt;br&gt;Line 1&lt;br&gt;Line 2&lt;br&gt;Line etc…&lt;br&gt;Content for CT-011`],[`CT-012`, `Demo CT-012`, `This is a multile demo of some important content to remember:&lt;br&gt;Line 1&lt;br&gt;Line 2&lt;br&gt;Line etc…&lt;br&gt;Content for CT-012`],[`CT-013`, `Demo CT-013`, `This is a multile demo of some important content to remember:&lt;br&gt;Line 1&lt;br&gt;Line 2&lt;br&gt;Line etc…&lt;br&gt;Content for CT-013`],[`CT-014`, `Demo CT-014`, `This is a multile demo of some important content to remember:&lt;br&gt;Line 1&lt;br&gt;Line 2&lt;br&gt;Line etc…&lt;br&gt;Content for CT-014`],[`CT-015`, `Demo CT-015`, `This is a multile demo of some important content to remember:&lt;br&gt;Line 1&lt;br&gt;Line 2&lt;br&gt;Line etc…&lt;br&gt;Content for CT-015`]]</v>
      </c>
    </row>
  </sheetData>
  <sheetProtection algorithmName="SHA-512" hashValue="OvcBH0zvBQ133yd55BXgLTm6buB1jaQorsWH5JpxFQX+zyLGCFr6q0N5yHiGVfgQFRIbyQnVylAnL+C9aNCr+g==" saltValue="prf9eBE5Np9/k4DTW1PmEg==" spinCount="100000" sheet="1" objects="1" scenarios="1"/>
  <protectedRanges>
    <protectedRange sqref="B3:C102" name="ContentRange" securityDescriptor="O:WDG:WDD:(A;;CC;;;WD)"/>
  </protectedRanges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217" workbookViewId="0">
      <selection sqref="A1:XFD1048576"/>
    </sheetView>
  </sheetViews>
  <sheetFormatPr defaultColWidth="9.1796875" defaultRowHeight="14.5"/>
  <cols>
    <col min="1" max="16384" width="9.1796875" style="54"/>
  </cols>
  <sheetData>
    <row r="1" spans="1:1">
      <c r="A1" s="53"/>
    </row>
  </sheetData>
  <sheetProtection selectLockedCells="1" selectUnlockedCells="1"/>
  <mergeCells count="1">
    <mergeCell ref="A1:XFD1048576"/>
  </mergeCells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Outlook_png" Type="http://schemas.openxmlformats.org/officeDocument/2006/relationships/image" Target="images/Outlook.png"/><Relationship Id="Word_png" Type="http://schemas.openxmlformats.org/officeDocument/2006/relationships/image" Target="images/Word.png"/><Relationship Id="Info_png" Type="http://schemas.openxmlformats.org/officeDocument/2006/relationships/image" Target="images/Info.png"/><Relationship Id="Excel_png" Type="http://schemas.openxmlformats.org/officeDocument/2006/relationships/image" Target="images/Excel.png"/><Relationship Id="HTML_png" Type="http://schemas.openxmlformats.org/officeDocument/2006/relationships/image" Target="images/HTML.png"/><Relationship Id="Source_png" Type="http://schemas.openxmlformats.org/officeDocument/2006/relationships/image" Target="images/Source.png"/></Relationships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CredentialManager</vt:lpstr>
      <vt:lpstr>NavigationManager</vt:lpstr>
      <vt:lpstr>ContentManager</vt:lpstr>
      <vt:lpstr>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Bojan Gluvacevic</dc:creator>
  <cp:lastModifiedBy>Bojan Gluvacevic</cp:lastModifiedBy>
  <dcterms:created xsi:type="dcterms:W3CDTF">2021-01-08T12:44:43Z</dcterms:created>
  <dcterms:modified xsi:type="dcterms:W3CDTF">2021-10-20T08:23:24Z</dcterms:modified>
</cp:coreProperties>
</file>